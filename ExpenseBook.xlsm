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8.xml" ContentType="application/vnd.ms-excel.controlproperties+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1e5b1244254d0c8f/ExpenseBook/"/>
    </mc:Choice>
  </mc:AlternateContent>
  <xr:revisionPtr revIDLastSave="155" documentId="13_ncr:1_{74482CEB-2E50-4E31-8199-D40B26401D68}" xr6:coauthVersionLast="46" xr6:coauthVersionMax="46" xr10:uidLastSave="{A5C453E7-6E5E-43EE-8483-F01BD4D7B863}"/>
  <bookViews>
    <workbookView xWindow="-120" yWindow="-120" windowWidth="29040" windowHeight="15225" activeTab="8" xr2:uid="{9B92E049-33A5-40DC-851B-34EECC556C6F}"/>
  </bookViews>
  <sheets>
    <sheet name="Instructions" sheetId="223" r:id="rId1"/>
    <sheet name="Main Tab" sheetId="4" r:id="rId2"/>
    <sheet name="Expense List" sheetId="157" r:id="rId3"/>
    <sheet name="Working Sheet" sheetId="2" state="hidden" r:id="rId4"/>
    <sheet name="Backup Expense List" sheetId="222" state="hidden" r:id="rId5"/>
    <sheet name="Monthly Dashboard" sheetId="187" r:id="rId6"/>
    <sheet name="Category Dashboard" sheetId="193" r:id="rId7"/>
    <sheet name="Annual Dashboard" sheetId="185" r:id="rId8"/>
    <sheet name="Monthly Compare Dashboard" sheetId="224" r:id="rId9"/>
    <sheet name="Account Variables" sheetId="6" state="hidden" r:id="rId10"/>
  </sheets>
  <functionGroups builtInGroupCount="19"/>
  <definedNames>
    <definedName name="_xlnm._FilterDatabase" localSheetId="4" hidden="1">'Backup Expense List'!$A$2:$L$2</definedName>
    <definedName name="_xlnm._FilterDatabase" localSheetId="2" hidden="1">'Expense List'!$A$2:$L$2</definedName>
    <definedName name="Budget">'Main Tab'!$F$11:$G$30</definedName>
    <definedName name="BudgetCat">'Main Tab'!$F$11:$F$30</definedName>
    <definedName name="Cat_List">'Working Sheet'!$D$3:$D$23</definedName>
    <definedName name="ExpenseList" localSheetId="4">'Backup Expense List'!$A$2:$N$532</definedName>
    <definedName name="ExpenseList">'Expense List'!$A$2:$N$2</definedName>
    <definedName name="Month_List">'Working Sheet'!$B$3:$B$5</definedName>
    <definedName name="Year_List">'Working Sheet'!$C$3:$C$5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224" l="1"/>
  <c r="N27" i="224"/>
  <c r="N26" i="224"/>
  <c r="N25" i="224"/>
  <c r="N24" i="224"/>
  <c r="N23" i="224"/>
  <c r="N22" i="224"/>
  <c r="N21" i="224"/>
  <c r="N20" i="224"/>
  <c r="N19" i="224"/>
  <c r="N18" i="224"/>
  <c r="N17" i="224"/>
  <c r="N16" i="224"/>
  <c r="N15" i="224"/>
  <c r="N14" i="224"/>
  <c r="N13" i="224"/>
  <c r="N12" i="224"/>
  <c r="N11" i="224"/>
  <c r="N10" i="224"/>
  <c r="N9" i="224"/>
  <c r="L9" i="224" a="1"/>
  <c r="L9" i="224" s="1"/>
  <c r="K28" i="224"/>
  <c r="K27" i="224"/>
  <c r="K26" i="224"/>
  <c r="K25" i="224"/>
  <c r="K24" i="224"/>
  <c r="K23" i="224"/>
  <c r="K22" i="224"/>
  <c r="K21" i="224"/>
  <c r="K20" i="224"/>
  <c r="K19" i="224"/>
  <c r="K18" i="224"/>
  <c r="K17" i="224"/>
  <c r="K16" i="224"/>
  <c r="K15" i="224"/>
  <c r="K14" i="224"/>
  <c r="K13" i="224"/>
  <c r="K12" i="224"/>
  <c r="K11" i="224"/>
  <c r="K10" i="224"/>
  <c r="K9" i="224"/>
  <c r="K6" i="224"/>
  <c r="J28" i="224"/>
  <c r="J27" i="224"/>
  <c r="J26" i="224"/>
  <c r="J25" i="224"/>
  <c r="J24" i="224"/>
  <c r="J23" i="224"/>
  <c r="J22" i="224"/>
  <c r="J21" i="224"/>
  <c r="J20" i="224"/>
  <c r="J19" i="224"/>
  <c r="J18" i="224"/>
  <c r="J17" i="224"/>
  <c r="J16" i="224"/>
  <c r="J15" i="224"/>
  <c r="J14" i="224"/>
  <c r="J13" i="224"/>
  <c r="J12" i="224"/>
  <c r="J11" i="224"/>
  <c r="J10" i="224"/>
  <c r="J9" i="224"/>
  <c r="B28" i="224"/>
  <c r="C28" i="224" s="1"/>
  <c r="B27" i="224"/>
  <c r="C27" i="224" s="1"/>
  <c r="B26" i="224"/>
  <c r="C26" i="224" s="1"/>
  <c r="B25" i="224"/>
  <c r="C25" i="224" s="1"/>
  <c r="B24" i="224"/>
  <c r="C24" i="224" s="1"/>
  <c r="B23" i="224"/>
  <c r="C23" i="224" s="1"/>
  <c r="B22" i="224"/>
  <c r="C22" i="224" s="1"/>
  <c r="B21" i="224"/>
  <c r="C21" i="224" s="1"/>
  <c r="B20" i="224"/>
  <c r="C20" i="224" s="1"/>
  <c r="B19" i="224"/>
  <c r="C19" i="224" s="1"/>
  <c r="B18" i="224"/>
  <c r="C18" i="224" s="1"/>
  <c r="B17" i="224"/>
  <c r="C17" i="224" s="1"/>
  <c r="B16" i="224"/>
  <c r="C16" i="224" s="1"/>
  <c r="B15" i="224"/>
  <c r="C15" i="224" s="1"/>
  <c r="B14" i="224"/>
  <c r="C14" i="224" s="1"/>
  <c r="B13" i="224"/>
  <c r="C13" i="224" s="1"/>
  <c r="B12" i="224"/>
  <c r="C12" i="224" s="1"/>
  <c r="B11" i="224"/>
  <c r="C11" i="224" s="1"/>
  <c r="B10" i="224"/>
  <c r="C10" i="224" s="1"/>
  <c r="D9" i="224" a="1"/>
  <c r="E25" i="224" s="1"/>
  <c r="B9" i="224"/>
  <c r="C9" i="224" s="1"/>
  <c r="C6" i="224"/>
  <c r="N2" i="157"/>
  <c r="N3" i="157"/>
  <c r="M2" i="157"/>
  <c r="M3" i="157"/>
  <c r="M24" i="224" l="1"/>
  <c r="M11" i="224"/>
  <c r="M14" i="224"/>
  <c r="M17" i="224"/>
  <c r="M20" i="224"/>
  <c r="M23" i="224"/>
  <c r="M26" i="224"/>
  <c r="M12" i="224"/>
  <c r="M18" i="224"/>
  <c r="M27" i="224"/>
  <c r="M10" i="224"/>
  <c r="M13" i="224"/>
  <c r="M16" i="224"/>
  <c r="M19" i="224"/>
  <c r="M22" i="224"/>
  <c r="M25" i="224"/>
  <c r="M28" i="224"/>
  <c r="M9" i="224"/>
  <c r="M15" i="224"/>
  <c r="M21" i="224"/>
  <c r="F19" i="224"/>
  <c r="F17" i="224"/>
  <c r="F21" i="224"/>
  <c r="F10" i="224"/>
  <c r="F22" i="224"/>
  <c r="F18" i="224"/>
  <c r="F9" i="224"/>
  <c r="F20" i="224"/>
  <c r="F11" i="224"/>
  <c r="F23" i="224"/>
  <c r="F12" i="224"/>
  <c r="F24" i="224"/>
  <c r="F13" i="224"/>
  <c r="F25" i="224"/>
  <c r="F14" i="224"/>
  <c r="F26" i="224"/>
  <c r="F15" i="224"/>
  <c r="F27" i="224"/>
  <c r="F16" i="224"/>
  <c r="F28" i="224"/>
  <c r="E11" i="224"/>
  <c r="E14" i="224"/>
  <c r="E17" i="224"/>
  <c r="E20" i="224"/>
  <c r="E23" i="224"/>
  <c r="E26" i="224"/>
  <c r="D9" i="224"/>
  <c r="E9" i="224" s="1"/>
  <c r="E27" i="224"/>
  <c r="E12" i="224"/>
  <c r="E15" i="224"/>
  <c r="E18" i="224"/>
  <c r="E21" i="224"/>
  <c r="E24" i="224"/>
  <c r="E28" i="224"/>
  <c r="E10" i="224"/>
  <c r="E13" i="224"/>
  <c r="E16" i="224"/>
  <c r="E19" i="224"/>
  <c r="E22" i="224"/>
  <c r="A1" i="157"/>
  <c r="N532" i="222"/>
  <c r="M532" i="222"/>
  <c r="N531" i="222"/>
  <c r="M531" i="222"/>
  <c r="N530" i="222"/>
  <c r="M530" i="222"/>
  <c r="N529" i="222"/>
  <c r="M529" i="222"/>
  <c r="N528" i="222"/>
  <c r="M528" i="222"/>
  <c r="N527" i="222"/>
  <c r="M527" i="222"/>
  <c r="N526" i="222"/>
  <c r="M526" i="222"/>
  <c r="N525" i="222"/>
  <c r="M525" i="222"/>
  <c r="N524" i="222"/>
  <c r="M524" i="222"/>
  <c r="N523" i="222"/>
  <c r="M523" i="222"/>
  <c r="N522" i="222"/>
  <c r="M522" i="222"/>
  <c r="N521" i="222"/>
  <c r="M521" i="222"/>
  <c r="N520" i="222"/>
  <c r="M520" i="222"/>
  <c r="N519" i="222"/>
  <c r="M519" i="222"/>
  <c r="N518" i="222"/>
  <c r="M518" i="222"/>
  <c r="N517" i="222"/>
  <c r="M517" i="222"/>
  <c r="N516" i="222"/>
  <c r="M516" i="222"/>
  <c r="N515" i="222"/>
  <c r="M515" i="222"/>
  <c r="N514" i="222"/>
  <c r="M514" i="222"/>
  <c r="N513" i="222"/>
  <c r="M513" i="222"/>
  <c r="N512" i="222"/>
  <c r="M512" i="222"/>
  <c r="N511" i="222"/>
  <c r="M511" i="222"/>
  <c r="N510" i="222"/>
  <c r="M510" i="222"/>
  <c r="N509" i="222"/>
  <c r="M509" i="222"/>
  <c r="N508" i="222"/>
  <c r="M508" i="222"/>
  <c r="N507" i="222"/>
  <c r="M507" i="222"/>
  <c r="N506" i="222"/>
  <c r="M506" i="222"/>
  <c r="N505" i="222"/>
  <c r="M505" i="222"/>
  <c r="N504" i="222"/>
  <c r="M504" i="222"/>
  <c r="N503" i="222"/>
  <c r="M503" i="222"/>
  <c r="N502" i="222"/>
  <c r="M502" i="222"/>
  <c r="N501" i="222"/>
  <c r="M501" i="222"/>
  <c r="N500" i="222"/>
  <c r="M500" i="222"/>
  <c r="N499" i="222"/>
  <c r="M499" i="222"/>
  <c r="N498" i="222"/>
  <c r="M498" i="222"/>
  <c r="N497" i="222"/>
  <c r="M497" i="222"/>
  <c r="N496" i="222"/>
  <c r="M496" i="222"/>
  <c r="N495" i="222"/>
  <c r="M495" i="222"/>
  <c r="N494" i="222"/>
  <c r="M494" i="222"/>
  <c r="N493" i="222"/>
  <c r="M493" i="222"/>
  <c r="N492" i="222"/>
  <c r="M492" i="222"/>
  <c r="N491" i="222"/>
  <c r="M491" i="222"/>
  <c r="N490" i="222"/>
  <c r="M490" i="222"/>
  <c r="N489" i="222"/>
  <c r="M489" i="222"/>
  <c r="N488" i="222"/>
  <c r="M488" i="222"/>
  <c r="N487" i="222"/>
  <c r="M487" i="222"/>
  <c r="N486" i="222"/>
  <c r="M486" i="222"/>
  <c r="N485" i="222"/>
  <c r="M485" i="222"/>
  <c r="N484" i="222"/>
  <c r="M484" i="222"/>
  <c r="N483" i="222"/>
  <c r="M483" i="222"/>
  <c r="N482" i="222"/>
  <c r="M482" i="222"/>
  <c r="N481" i="222"/>
  <c r="M481" i="222"/>
  <c r="N480" i="222"/>
  <c r="M480" i="222"/>
  <c r="N479" i="222"/>
  <c r="M479" i="222"/>
  <c r="N478" i="222"/>
  <c r="M478" i="222"/>
  <c r="N477" i="222"/>
  <c r="M477" i="222"/>
  <c r="N476" i="222"/>
  <c r="M476" i="222"/>
  <c r="N475" i="222"/>
  <c r="M475" i="222"/>
  <c r="N474" i="222"/>
  <c r="M474" i="222"/>
  <c r="N473" i="222"/>
  <c r="M473" i="222"/>
  <c r="N472" i="222"/>
  <c r="M472" i="222"/>
  <c r="N471" i="222"/>
  <c r="M471" i="222"/>
  <c r="N470" i="222"/>
  <c r="M470" i="222"/>
  <c r="N469" i="222"/>
  <c r="M469" i="222"/>
  <c r="N468" i="222"/>
  <c r="M468" i="222"/>
  <c r="N467" i="222"/>
  <c r="M467" i="222"/>
  <c r="N466" i="222"/>
  <c r="M466" i="222"/>
  <c r="N465" i="222"/>
  <c r="M465" i="222"/>
  <c r="N464" i="222"/>
  <c r="M464" i="222"/>
  <c r="N463" i="222"/>
  <c r="M463" i="222"/>
  <c r="N462" i="222"/>
  <c r="M462" i="222"/>
  <c r="N461" i="222"/>
  <c r="M461" i="222"/>
  <c r="N460" i="222"/>
  <c r="M460" i="222"/>
  <c r="N459" i="222"/>
  <c r="M459" i="222"/>
  <c r="N458" i="222"/>
  <c r="M458" i="222"/>
  <c r="N457" i="222"/>
  <c r="M457" i="222"/>
  <c r="N456" i="222"/>
  <c r="M456" i="222"/>
  <c r="N455" i="222"/>
  <c r="M455" i="222"/>
  <c r="N454" i="222"/>
  <c r="M454" i="222"/>
  <c r="N453" i="222"/>
  <c r="M453" i="222"/>
  <c r="N452" i="222"/>
  <c r="M452" i="222"/>
  <c r="N451" i="222"/>
  <c r="M451" i="222"/>
  <c r="N450" i="222"/>
  <c r="M450" i="222"/>
  <c r="N449" i="222"/>
  <c r="M449" i="222"/>
  <c r="N448" i="222"/>
  <c r="M448" i="222"/>
  <c r="N447" i="222"/>
  <c r="M447" i="222"/>
  <c r="N446" i="222"/>
  <c r="M446" i="222"/>
  <c r="N445" i="222"/>
  <c r="M445" i="222"/>
  <c r="N444" i="222"/>
  <c r="M444" i="222"/>
  <c r="N443" i="222"/>
  <c r="M443" i="222"/>
  <c r="N442" i="222"/>
  <c r="M442" i="222"/>
  <c r="N441" i="222"/>
  <c r="M441" i="222"/>
  <c r="N440" i="222"/>
  <c r="M440" i="222"/>
  <c r="N439" i="222"/>
  <c r="M439" i="222"/>
  <c r="N438" i="222"/>
  <c r="M438" i="222"/>
  <c r="N437" i="222"/>
  <c r="M437" i="222"/>
  <c r="N436" i="222"/>
  <c r="M436" i="222"/>
  <c r="N435" i="222"/>
  <c r="M435" i="222"/>
  <c r="N434" i="222"/>
  <c r="M434" i="222"/>
  <c r="N433" i="222"/>
  <c r="M433" i="222"/>
  <c r="N432" i="222"/>
  <c r="M432" i="222"/>
  <c r="N431" i="222"/>
  <c r="M431" i="222"/>
  <c r="N430" i="222"/>
  <c r="M430" i="222"/>
  <c r="N429" i="222"/>
  <c r="M429" i="222"/>
  <c r="N428" i="222"/>
  <c r="M428" i="222"/>
  <c r="N427" i="222"/>
  <c r="M427" i="222"/>
  <c r="N426" i="222"/>
  <c r="M426" i="222"/>
  <c r="N425" i="222"/>
  <c r="M425" i="222"/>
  <c r="N424" i="222"/>
  <c r="M424" i="222"/>
  <c r="N423" i="222"/>
  <c r="M423" i="222"/>
  <c r="N422" i="222"/>
  <c r="M422" i="222"/>
  <c r="N421" i="222"/>
  <c r="M421" i="222"/>
  <c r="N420" i="222"/>
  <c r="M420" i="222"/>
  <c r="N419" i="222"/>
  <c r="M419" i="222"/>
  <c r="N418" i="222"/>
  <c r="M418" i="222"/>
  <c r="N417" i="222"/>
  <c r="M417" i="222"/>
  <c r="N416" i="222"/>
  <c r="M416" i="222"/>
  <c r="N415" i="222"/>
  <c r="M415" i="222"/>
  <c r="N414" i="222"/>
  <c r="M414" i="222"/>
  <c r="N413" i="222"/>
  <c r="M413" i="222"/>
  <c r="N412" i="222"/>
  <c r="M412" i="222"/>
  <c r="N411" i="222"/>
  <c r="M411" i="222"/>
  <c r="N410" i="222"/>
  <c r="M410" i="222"/>
  <c r="N409" i="222"/>
  <c r="M409" i="222"/>
  <c r="N408" i="222"/>
  <c r="M408" i="222"/>
  <c r="N407" i="222"/>
  <c r="M407" i="222"/>
  <c r="N406" i="222"/>
  <c r="M406" i="222"/>
  <c r="N405" i="222"/>
  <c r="M405" i="222"/>
  <c r="N404" i="222"/>
  <c r="M404" i="222"/>
  <c r="N403" i="222"/>
  <c r="M403" i="222"/>
  <c r="N402" i="222"/>
  <c r="M402" i="222"/>
  <c r="N401" i="222"/>
  <c r="M401" i="222"/>
  <c r="N400" i="222"/>
  <c r="M400" i="222"/>
  <c r="N399" i="222"/>
  <c r="M399" i="222"/>
  <c r="N398" i="222"/>
  <c r="M398" i="222"/>
  <c r="N397" i="222"/>
  <c r="M397" i="222"/>
  <c r="N396" i="222"/>
  <c r="M396" i="222"/>
  <c r="N395" i="222"/>
  <c r="M395" i="222"/>
  <c r="N394" i="222"/>
  <c r="M394" i="222"/>
  <c r="N393" i="222"/>
  <c r="M393" i="222"/>
  <c r="N392" i="222"/>
  <c r="M392" i="222"/>
  <c r="N391" i="222"/>
  <c r="M391" i="222"/>
  <c r="N390" i="222"/>
  <c r="M390" i="222"/>
  <c r="N389" i="222"/>
  <c r="M389" i="222"/>
  <c r="N388" i="222"/>
  <c r="M388" i="222"/>
  <c r="N387" i="222"/>
  <c r="M387" i="222"/>
  <c r="N386" i="222"/>
  <c r="M386" i="222"/>
  <c r="N385" i="222"/>
  <c r="M385" i="222"/>
  <c r="N384" i="222"/>
  <c r="M384" i="222"/>
  <c r="N383" i="222"/>
  <c r="M383" i="222"/>
  <c r="N382" i="222"/>
  <c r="M382" i="222"/>
  <c r="N381" i="222"/>
  <c r="M381" i="222"/>
  <c r="N380" i="222"/>
  <c r="M380" i="222"/>
  <c r="N379" i="222"/>
  <c r="M379" i="222"/>
  <c r="N378" i="222"/>
  <c r="M378" i="222"/>
  <c r="N377" i="222"/>
  <c r="M377" i="222"/>
  <c r="N376" i="222"/>
  <c r="M376" i="222"/>
  <c r="N375" i="222"/>
  <c r="M375" i="222"/>
  <c r="N374" i="222"/>
  <c r="M374" i="222"/>
  <c r="N373" i="222"/>
  <c r="M373" i="222"/>
  <c r="N372" i="222"/>
  <c r="M372" i="222"/>
  <c r="N371" i="222"/>
  <c r="M371" i="222"/>
  <c r="N370" i="222"/>
  <c r="M370" i="222"/>
  <c r="N369" i="222"/>
  <c r="M369" i="222"/>
  <c r="N368" i="222"/>
  <c r="M368" i="222"/>
  <c r="N367" i="222"/>
  <c r="M367" i="222"/>
  <c r="N366" i="222"/>
  <c r="M366" i="222"/>
  <c r="N365" i="222"/>
  <c r="M365" i="222"/>
  <c r="N364" i="222"/>
  <c r="M364" i="222"/>
  <c r="N363" i="222"/>
  <c r="M363" i="222"/>
  <c r="N362" i="222"/>
  <c r="M362" i="222"/>
  <c r="N361" i="222"/>
  <c r="M361" i="222"/>
  <c r="N360" i="222"/>
  <c r="M360" i="222"/>
  <c r="N359" i="222"/>
  <c r="M359" i="222"/>
  <c r="N358" i="222"/>
  <c r="M358" i="222"/>
  <c r="N357" i="222"/>
  <c r="M357" i="222"/>
  <c r="N356" i="222"/>
  <c r="M356" i="222"/>
  <c r="N355" i="222"/>
  <c r="M355" i="222"/>
  <c r="N354" i="222"/>
  <c r="M354" i="222"/>
  <c r="N353" i="222"/>
  <c r="M353" i="222"/>
  <c r="N352" i="222"/>
  <c r="M352" i="222"/>
  <c r="N351" i="222"/>
  <c r="M351" i="222"/>
  <c r="N350" i="222"/>
  <c r="M350" i="222"/>
  <c r="N349" i="222"/>
  <c r="M349" i="222"/>
  <c r="N348" i="222"/>
  <c r="M348" i="222"/>
  <c r="N347" i="222"/>
  <c r="M347" i="222"/>
  <c r="N346" i="222"/>
  <c r="M346" i="222"/>
  <c r="N345" i="222"/>
  <c r="M345" i="222"/>
  <c r="N344" i="222"/>
  <c r="M344" i="222"/>
  <c r="N343" i="222"/>
  <c r="M343" i="222"/>
  <c r="N342" i="222"/>
  <c r="M342" i="222"/>
  <c r="N341" i="222"/>
  <c r="M341" i="222"/>
  <c r="N340" i="222"/>
  <c r="M340" i="222"/>
  <c r="N339" i="222"/>
  <c r="M339" i="222"/>
  <c r="N338" i="222"/>
  <c r="M338" i="222"/>
  <c r="N337" i="222"/>
  <c r="M337" i="222"/>
  <c r="N336" i="222"/>
  <c r="M336" i="222"/>
  <c r="N335" i="222"/>
  <c r="M335" i="222"/>
  <c r="N334" i="222"/>
  <c r="M334" i="222"/>
  <c r="N333" i="222"/>
  <c r="M333" i="222"/>
  <c r="N332" i="222"/>
  <c r="M332" i="222"/>
  <c r="N331" i="222"/>
  <c r="M331" i="222"/>
  <c r="N330" i="222"/>
  <c r="M330" i="222"/>
  <c r="N329" i="222"/>
  <c r="M329" i="222"/>
  <c r="N328" i="222"/>
  <c r="M328" i="222"/>
  <c r="N327" i="222"/>
  <c r="M327" i="222"/>
  <c r="N326" i="222"/>
  <c r="M326" i="222"/>
  <c r="N325" i="222"/>
  <c r="M325" i="222"/>
  <c r="N324" i="222"/>
  <c r="M324" i="222"/>
  <c r="N323" i="222"/>
  <c r="M323" i="222"/>
  <c r="N322" i="222"/>
  <c r="M322" i="222"/>
  <c r="N321" i="222"/>
  <c r="M321" i="222"/>
  <c r="N320" i="222"/>
  <c r="M320" i="222"/>
  <c r="N319" i="222"/>
  <c r="M319" i="222"/>
  <c r="N318" i="222"/>
  <c r="M318" i="222"/>
  <c r="N317" i="222"/>
  <c r="M317" i="222"/>
  <c r="N316" i="222"/>
  <c r="M316" i="222"/>
  <c r="N315" i="222"/>
  <c r="M315" i="222"/>
  <c r="N314" i="222"/>
  <c r="M314" i="222"/>
  <c r="N313" i="222"/>
  <c r="M313" i="222"/>
  <c r="N312" i="222"/>
  <c r="M312" i="222"/>
  <c r="N311" i="222"/>
  <c r="M311" i="222"/>
  <c r="N310" i="222"/>
  <c r="M310" i="222"/>
  <c r="N309" i="222"/>
  <c r="M309" i="222"/>
  <c r="N308" i="222"/>
  <c r="M308" i="222"/>
  <c r="N307" i="222"/>
  <c r="M307" i="222"/>
  <c r="N306" i="222"/>
  <c r="M306" i="222"/>
  <c r="N305" i="222"/>
  <c r="M305" i="222"/>
  <c r="N304" i="222"/>
  <c r="M304" i="222"/>
  <c r="N303" i="222"/>
  <c r="M303" i="222"/>
  <c r="N302" i="222"/>
  <c r="M302" i="222"/>
  <c r="N301" i="222"/>
  <c r="M301" i="222"/>
  <c r="N300" i="222"/>
  <c r="M300" i="222"/>
  <c r="N299" i="222"/>
  <c r="M299" i="222"/>
  <c r="N298" i="222"/>
  <c r="M298" i="222"/>
  <c r="N297" i="222"/>
  <c r="M297" i="222"/>
  <c r="N296" i="222"/>
  <c r="M296" i="222"/>
  <c r="N295" i="222"/>
  <c r="M295" i="222"/>
  <c r="N294" i="222"/>
  <c r="M294" i="222"/>
  <c r="N293" i="222"/>
  <c r="M293" i="222"/>
  <c r="N292" i="222"/>
  <c r="M292" i="222"/>
  <c r="N291" i="222"/>
  <c r="M291" i="222"/>
  <c r="N290" i="222"/>
  <c r="M290" i="222"/>
  <c r="N289" i="222"/>
  <c r="M289" i="222"/>
  <c r="N288" i="222"/>
  <c r="M288" i="222"/>
  <c r="N287" i="222"/>
  <c r="M287" i="222"/>
  <c r="N286" i="222"/>
  <c r="M286" i="222"/>
  <c r="N285" i="222"/>
  <c r="M285" i="222"/>
  <c r="N284" i="222"/>
  <c r="M284" i="222"/>
  <c r="N283" i="222"/>
  <c r="M283" i="222"/>
  <c r="N282" i="222"/>
  <c r="M282" i="222"/>
  <c r="N281" i="222"/>
  <c r="M281" i="222"/>
  <c r="N280" i="222"/>
  <c r="M280" i="222"/>
  <c r="N279" i="222"/>
  <c r="M279" i="222"/>
  <c r="N278" i="222"/>
  <c r="M278" i="222"/>
  <c r="N277" i="222"/>
  <c r="M277" i="222"/>
  <c r="N276" i="222"/>
  <c r="M276" i="222"/>
  <c r="N275" i="222"/>
  <c r="M275" i="222"/>
  <c r="N274" i="222"/>
  <c r="M274" i="222"/>
  <c r="N273" i="222"/>
  <c r="M273" i="222"/>
  <c r="N272" i="222"/>
  <c r="M272" i="222"/>
  <c r="N271" i="222"/>
  <c r="M271" i="222"/>
  <c r="N270" i="222"/>
  <c r="M270" i="222"/>
  <c r="N269" i="222"/>
  <c r="M269" i="222"/>
  <c r="N268" i="222"/>
  <c r="M268" i="222"/>
  <c r="N267" i="222"/>
  <c r="M267" i="222"/>
  <c r="N266" i="222"/>
  <c r="M266" i="222"/>
  <c r="N265" i="222"/>
  <c r="M265" i="222"/>
  <c r="N264" i="222"/>
  <c r="M264" i="222"/>
  <c r="N263" i="222"/>
  <c r="M263" i="222"/>
  <c r="N262" i="222"/>
  <c r="M262" i="222"/>
  <c r="N261" i="222"/>
  <c r="M261" i="222"/>
  <c r="N260" i="222"/>
  <c r="M260" i="222"/>
  <c r="N259" i="222"/>
  <c r="M259" i="222"/>
  <c r="N258" i="222"/>
  <c r="M258" i="222"/>
  <c r="N257" i="222"/>
  <c r="M257" i="222"/>
  <c r="N256" i="222"/>
  <c r="M256" i="222"/>
  <c r="N255" i="222"/>
  <c r="M255" i="222"/>
  <c r="N254" i="222"/>
  <c r="M254" i="222"/>
  <c r="N253" i="222"/>
  <c r="M253" i="222"/>
  <c r="N252" i="222"/>
  <c r="M252" i="222"/>
  <c r="N251" i="222"/>
  <c r="M251" i="222"/>
  <c r="N250" i="222"/>
  <c r="M250" i="222"/>
  <c r="N249" i="222"/>
  <c r="M249" i="222"/>
  <c r="N248" i="222"/>
  <c r="M248" i="222"/>
  <c r="N247" i="222"/>
  <c r="M247" i="222"/>
  <c r="N246" i="222"/>
  <c r="M246" i="222"/>
  <c r="N245" i="222"/>
  <c r="M245" i="222"/>
  <c r="N244" i="222"/>
  <c r="M244" i="222"/>
  <c r="N243" i="222"/>
  <c r="M243" i="222"/>
  <c r="N242" i="222"/>
  <c r="M242" i="222"/>
  <c r="N241" i="222"/>
  <c r="M241" i="222"/>
  <c r="N240" i="222"/>
  <c r="M240" i="222"/>
  <c r="N239" i="222"/>
  <c r="M239" i="222"/>
  <c r="N238" i="222"/>
  <c r="M238" i="222"/>
  <c r="N237" i="222"/>
  <c r="M237" i="222"/>
  <c r="N236" i="222"/>
  <c r="M236" i="222"/>
  <c r="N235" i="222"/>
  <c r="M235" i="222"/>
  <c r="N234" i="222"/>
  <c r="M234" i="222"/>
  <c r="N233" i="222"/>
  <c r="M233" i="222"/>
  <c r="N232" i="222"/>
  <c r="M232" i="222"/>
  <c r="N231" i="222"/>
  <c r="M231" i="222"/>
  <c r="N230" i="222"/>
  <c r="M230" i="222"/>
  <c r="N229" i="222"/>
  <c r="M229" i="222"/>
  <c r="N228" i="222"/>
  <c r="M228" i="222"/>
  <c r="N227" i="222"/>
  <c r="M227" i="222"/>
  <c r="N226" i="222"/>
  <c r="M226" i="222"/>
  <c r="N225" i="222"/>
  <c r="M225" i="222"/>
  <c r="N224" i="222"/>
  <c r="M224" i="222"/>
  <c r="N223" i="222"/>
  <c r="M223" i="222"/>
  <c r="N222" i="222"/>
  <c r="M222" i="222"/>
  <c r="N221" i="222"/>
  <c r="M221" i="222"/>
  <c r="N220" i="222"/>
  <c r="M220" i="222"/>
  <c r="N219" i="222"/>
  <c r="M219" i="222"/>
  <c r="N218" i="222"/>
  <c r="M218" i="222"/>
  <c r="N217" i="222"/>
  <c r="M217" i="222"/>
  <c r="N216" i="222"/>
  <c r="M216" i="222"/>
  <c r="N215" i="222"/>
  <c r="M215" i="222"/>
  <c r="N214" i="222"/>
  <c r="M214" i="222"/>
  <c r="N213" i="222"/>
  <c r="M213" i="222"/>
  <c r="N212" i="222"/>
  <c r="M212" i="222"/>
  <c r="N211" i="222"/>
  <c r="M211" i="222"/>
  <c r="N210" i="222"/>
  <c r="M210" i="222"/>
  <c r="N209" i="222"/>
  <c r="M209" i="222"/>
  <c r="N208" i="222"/>
  <c r="M208" i="222"/>
  <c r="N207" i="222"/>
  <c r="M207" i="222"/>
  <c r="N206" i="222"/>
  <c r="M206" i="222"/>
  <c r="N205" i="222"/>
  <c r="M205" i="222"/>
  <c r="N204" i="222"/>
  <c r="M204" i="222"/>
  <c r="N203" i="222"/>
  <c r="M203" i="222"/>
  <c r="N202" i="222"/>
  <c r="M202" i="222"/>
  <c r="N201" i="222"/>
  <c r="M201" i="222"/>
  <c r="N200" i="222"/>
  <c r="M200" i="222"/>
  <c r="N199" i="222"/>
  <c r="M199" i="222"/>
  <c r="N198" i="222"/>
  <c r="M198" i="222"/>
  <c r="N197" i="222"/>
  <c r="M197" i="222"/>
  <c r="N196" i="222"/>
  <c r="M196" i="222"/>
  <c r="N195" i="222"/>
  <c r="M195" i="222"/>
  <c r="N194" i="222"/>
  <c r="M194" i="222"/>
  <c r="N193" i="222"/>
  <c r="M193" i="222"/>
  <c r="N192" i="222"/>
  <c r="M192" i="222"/>
  <c r="N191" i="222"/>
  <c r="M191" i="222"/>
  <c r="N190" i="222"/>
  <c r="M190" i="222"/>
  <c r="N189" i="222"/>
  <c r="M189" i="222"/>
  <c r="N188" i="222"/>
  <c r="M188" i="222"/>
  <c r="N187" i="222"/>
  <c r="M187" i="222"/>
  <c r="N186" i="222"/>
  <c r="M186" i="222"/>
  <c r="N185" i="222"/>
  <c r="M185" i="222"/>
  <c r="N184" i="222"/>
  <c r="M184" i="222"/>
  <c r="N183" i="222"/>
  <c r="M183" i="222"/>
  <c r="N182" i="222"/>
  <c r="M182" i="222"/>
  <c r="N181" i="222"/>
  <c r="M181" i="222"/>
  <c r="N180" i="222"/>
  <c r="M180" i="222"/>
  <c r="N179" i="222"/>
  <c r="M179" i="222"/>
  <c r="N178" i="222"/>
  <c r="M178" i="222"/>
  <c r="N177" i="222"/>
  <c r="M177" i="222"/>
  <c r="N176" i="222"/>
  <c r="M176" i="222"/>
  <c r="N175" i="222"/>
  <c r="M175" i="222"/>
  <c r="N174" i="222"/>
  <c r="M174" i="222"/>
  <c r="N173" i="222"/>
  <c r="M173" i="222"/>
  <c r="N172" i="222"/>
  <c r="M172" i="222"/>
  <c r="N171" i="222"/>
  <c r="M171" i="222"/>
  <c r="N170" i="222"/>
  <c r="M170" i="222"/>
  <c r="N169" i="222"/>
  <c r="M169" i="222"/>
  <c r="N168" i="222"/>
  <c r="M168" i="222"/>
  <c r="N167" i="222"/>
  <c r="M167" i="222"/>
  <c r="N166" i="222"/>
  <c r="M166" i="222"/>
  <c r="N165" i="222"/>
  <c r="M165" i="222"/>
  <c r="N164" i="222"/>
  <c r="M164" i="222"/>
  <c r="N163" i="222"/>
  <c r="M163" i="222"/>
  <c r="N162" i="222"/>
  <c r="M162" i="222"/>
  <c r="N161" i="222"/>
  <c r="M161" i="222"/>
  <c r="N160" i="222"/>
  <c r="M160" i="222"/>
  <c r="N159" i="222"/>
  <c r="M159" i="222"/>
  <c r="N158" i="222"/>
  <c r="M158" i="222"/>
  <c r="N157" i="222"/>
  <c r="M157" i="222"/>
  <c r="N156" i="222"/>
  <c r="M156" i="222"/>
  <c r="N155" i="222"/>
  <c r="M155" i="222"/>
  <c r="N154" i="222"/>
  <c r="M154" i="222"/>
  <c r="N153" i="222"/>
  <c r="M153" i="222"/>
  <c r="N152" i="222"/>
  <c r="M152" i="222"/>
  <c r="N151" i="222"/>
  <c r="M151" i="222"/>
  <c r="N150" i="222"/>
  <c r="M150" i="222"/>
  <c r="N149" i="222"/>
  <c r="M149" i="222"/>
  <c r="N148" i="222"/>
  <c r="M148" i="222"/>
  <c r="N147" i="222"/>
  <c r="M147" i="222"/>
  <c r="N146" i="222"/>
  <c r="M146" i="222"/>
  <c r="N145" i="222"/>
  <c r="M145" i="222"/>
  <c r="N144" i="222"/>
  <c r="M144" i="222"/>
  <c r="N143" i="222"/>
  <c r="M143" i="222"/>
  <c r="N142" i="222"/>
  <c r="M142" i="222"/>
  <c r="N141" i="222"/>
  <c r="M141" i="222"/>
  <c r="N140" i="222"/>
  <c r="M140" i="222"/>
  <c r="N139" i="222"/>
  <c r="M139" i="222"/>
  <c r="N138" i="222"/>
  <c r="M138" i="222"/>
  <c r="N137" i="222"/>
  <c r="M137" i="222"/>
  <c r="N136" i="222"/>
  <c r="M136" i="222"/>
  <c r="N135" i="222"/>
  <c r="M135" i="222"/>
  <c r="N134" i="222"/>
  <c r="M134" i="222"/>
  <c r="N133" i="222"/>
  <c r="M133" i="222"/>
  <c r="N132" i="222"/>
  <c r="M132" i="222"/>
  <c r="N131" i="222"/>
  <c r="M131" i="222"/>
  <c r="N130" i="222"/>
  <c r="M130" i="222"/>
  <c r="N129" i="222"/>
  <c r="M129" i="222"/>
  <c r="N128" i="222"/>
  <c r="M128" i="222"/>
  <c r="N127" i="222"/>
  <c r="M127" i="222"/>
  <c r="N126" i="222"/>
  <c r="M126" i="222"/>
  <c r="N125" i="222"/>
  <c r="M125" i="222"/>
  <c r="N124" i="222"/>
  <c r="M124" i="222"/>
  <c r="N123" i="222"/>
  <c r="M123" i="222"/>
  <c r="N122" i="222"/>
  <c r="M122" i="222"/>
  <c r="N121" i="222"/>
  <c r="M121" i="222"/>
  <c r="N120" i="222"/>
  <c r="M120" i="222"/>
  <c r="N119" i="222"/>
  <c r="M119" i="222"/>
  <c r="N118" i="222"/>
  <c r="M118" i="222"/>
  <c r="N117" i="222"/>
  <c r="M117" i="222"/>
  <c r="N116" i="222"/>
  <c r="M116" i="222"/>
  <c r="N115" i="222"/>
  <c r="M115" i="222"/>
  <c r="N114" i="222"/>
  <c r="M114" i="222"/>
  <c r="N113" i="222"/>
  <c r="M113" i="222"/>
  <c r="N112" i="222"/>
  <c r="M112" i="222"/>
  <c r="N111" i="222"/>
  <c r="M111" i="222"/>
  <c r="N110" i="222"/>
  <c r="M110" i="222"/>
  <c r="N109" i="222"/>
  <c r="M109" i="222"/>
  <c r="N108" i="222"/>
  <c r="M108" i="222"/>
  <c r="N107" i="222"/>
  <c r="M107" i="222"/>
  <c r="N106" i="222"/>
  <c r="M106" i="222"/>
  <c r="N105" i="222"/>
  <c r="M105" i="222"/>
  <c r="N104" i="222"/>
  <c r="M104" i="222"/>
  <c r="N103" i="222"/>
  <c r="M103" i="222"/>
  <c r="N102" i="222"/>
  <c r="M102" i="222"/>
  <c r="N101" i="222"/>
  <c r="M101" i="222"/>
  <c r="N100" i="222"/>
  <c r="M100" i="222"/>
  <c r="N99" i="222"/>
  <c r="M99" i="222"/>
  <c r="N98" i="222"/>
  <c r="M98" i="222"/>
  <c r="N97" i="222"/>
  <c r="M97" i="222"/>
  <c r="N96" i="222"/>
  <c r="M96" i="222"/>
  <c r="N95" i="222"/>
  <c r="M95" i="222"/>
  <c r="N94" i="222"/>
  <c r="M94" i="222"/>
  <c r="N93" i="222"/>
  <c r="M93" i="222"/>
  <c r="N92" i="222"/>
  <c r="M92" i="222"/>
  <c r="N91" i="222"/>
  <c r="M91" i="222"/>
  <c r="N90" i="222"/>
  <c r="M90" i="222"/>
  <c r="N89" i="222"/>
  <c r="M89" i="222"/>
  <c r="N88" i="222"/>
  <c r="M88" i="222"/>
  <c r="N87" i="222"/>
  <c r="M87" i="222"/>
  <c r="N86" i="222"/>
  <c r="M86" i="222"/>
  <c r="N85" i="222"/>
  <c r="M85" i="222"/>
  <c r="N84" i="222"/>
  <c r="M84" i="222"/>
  <c r="N83" i="222"/>
  <c r="M83" i="222"/>
  <c r="N82" i="222"/>
  <c r="M82" i="222"/>
  <c r="N81" i="222"/>
  <c r="M81" i="222"/>
  <c r="N80" i="222"/>
  <c r="M80" i="222"/>
  <c r="N79" i="222"/>
  <c r="M79" i="222"/>
  <c r="N78" i="222"/>
  <c r="M78" i="222"/>
  <c r="N77" i="222"/>
  <c r="M77" i="222"/>
  <c r="N76" i="222"/>
  <c r="M76" i="222"/>
  <c r="N75" i="222"/>
  <c r="M75" i="222"/>
  <c r="N74" i="222"/>
  <c r="M74" i="222"/>
  <c r="N73" i="222"/>
  <c r="M73" i="222"/>
  <c r="N72" i="222"/>
  <c r="M72" i="222"/>
  <c r="N71" i="222"/>
  <c r="M71" i="222"/>
  <c r="N70" i="222"/>
  <c r="M70" i="222"/>
  <c r="N69" i="222"/>
  <c r="M69" i="222"/>
  <c r="N68" i="222"/>
  <c r="M68" i="222"/>
  <c r="N67" i="222"/>
  <c r="M67" i="222"/>
  <c r="N66" i="222"/>
  <c r="M66" i="222"/>
  <c r="N65" i="222"/>
  <c r="M65" i="222"/>
  <c r="N64" i="222"/>
  <c r="M64" i="222"/>
  <c r="N63" i="222"/>
  <c r="M63" i="222"/>
  <c r="N62" i="222"/>
  <c r="M62" i="222"/>
  <c r="N61" i="222"/>
  <c r="M61" i="222"/>
  <c r="N60" i="222"/>
  <c r="M60" i="222"/>
  <c r="N59" i="222"/>
  <c r="M59" i="222"/>
  <c r="N58" i="222"/>
  <c r="M58" i="222"/>
  <c r="N57" i="222"/>
  <c r="M57" i="222"/>
  <c r="N56" i="222"/>
  <c r="M56" i="222"/>
  <c r="N55" i="222"/>
  <c r="M55" i="222"/>
  <c r="N54" i="222"/>
  <c r="M54" i="222"/>
  <c r="N53" i="222"/>
  <c r="M53" i="222"/>
  <c r="N52" i="222"/>
  <c r="M52" i="222"/>
  <c r="N51" i="222"/>
  <c r="M51" i="222"/>
  <c r="N50" i="222"/>
  <c r="M50" i="222"/>
  <c r="N49" i="222"/>
  <c r="M49" i="222"/>
  <c r="N48" i="222"/>
  <c r="M48" i="222"/>
  <c r="N47" i="222"/>
  <c r="M47" i="222"/>
  <c r="N46" i="222"/>
  <c r="M46" i="222"/>
  <c r="N45" i="222"/>
  <c r="M45" i="222"/>
  <c r="N44" i="222"/>
  <c r="M44" i="222"/>
  <c r="N43" i="222"/>
  <c r="M43" i="222"/>
  <c r="N42" i="222"/>
  <c r="M42" i="222"/>
  <c r="N41" i="222"/>
  <c r="M41" i="222"/>
  <c r="N40" i="222"/>
  <c r="M40" i="222"/>
  <c r="N39" i="222"/>
  <c r="M39" i="222"/>
  <c r="N38" i="222"/>
  <c r="M38" i="222"/>
  <c r="N37" i="222"/>
  <c r="M37" i="222"/>
  <c r="N36" i="222"/>
  <c r="M36" i="222"/>
  <c r="N35" i="222"/>
  <c r="M35" i="222"/>
  <c r="N34" i="222"/>
  <c r="M34" i="222"/>
  <c r="N33" i="222"/>
  <c r="M33" i="222"/>
  <c r="N32" i="222"/>
  <c r="M32" i="222"/>
  <c r="N31" i="222"/>
  <c r="M31" i="222"/>
  <c r="N30" i="222"/>
  <c r="M30" i="222"/>
  <c r="N29" i="222"/>
  <c r="M29" i="222"/>
  <c r="N28" i="222"/>
  <c r="M28" i="222"/>
  <c r="N27" i="222"/>
  <c r="M27" i="222"/>
  <c r="N26" i="222"/>
  <c r="M26" i="222"/>
  <c r="N25" i="222"/>
  <c r="M25" i="222"/>
  <c r="N24" i="222"/>
  <c r="M24" i="222"/>
  <c r="N23" i="222"/>
  <c r="M23" i="222"/>
  <c r="N22" i="222"/>
  <c r="M22" i="222"/>
  <c r="N21" i="222"/>
  <c r="M21" i="222"/>
  <c r="N20" i="222"/>
  <c r="M20" i="222"/>
  <c r="N19" i="222"/>
  <c r="M19" i="222"/>
  <c r="N18" i="222"/>
  <c r="M18" i="222"/>
  <c r="N17" i="222"/>
  <c r="M17" i="222"/>
  <c r="N16" i="222"/>
  <c r="M16" i="222"/>
  <c r="N15" i="222"/>
  <c r="M15" i="222"/>
  <c r="N14" i="222"/>
  <c r="M14" i="222"/>
  <c r="N13" i="222"/>
  <c r="M13" i="222"/>
  <c r="N12" i="222"/>
  <c r="M12" i="222"/>
  <c r="N11" i="222"/>
  <c r="M11" i="222"/>
  <c r="N10" i="222"/>
  <c r="M10" i="222"/>
  <c r="N9" i="222"/>
  <c r="M9" i="222"/>
  <c r="N8" i="222"/>
  <c r="M8" i="222"/>
  <c r="N7" i="222"/>
  <c r="M7" i="222"/>
  <c r="N6" i="222"/>
  <c r="M6" i="222"/>
  <c r="N5" i="222"/>
  <c r="M5" i="222"/>
  <c r="N4" i="222"/>
  <c r="M4" i="222"/>
  <c r="N3" i="222"/>
  <c r="M3" i="222"/>
  <c r="N2" i="222"/>
  <c r="M2" i="222"/>
  <c r="A1" i="222"/>
  <c r="M29" i="224" l="1"/>
  <c r="E29" i="224"/>
  <c r="D20" i="193"/>
  <c r="D19" i="193"/>
  <c r="D18" i="193"/>
  <c r="D17" i="193"/>
  <c r="D16" i="193"/>
  <c r="D15" i="193"/>
  <c r="D14" i="193"/>
  <c r="D13" i="193"/>
  <c r="D12" i="193"/>
  <c r="D11" i="193"/>
  <c r="D9" i="193"/>
  <c r="D10" i="193"/>
  <c r="C6" i="193"/>
  <c r="C10" i="193" l="1"/>
  <c r="E10" i="193" s="1"/>
  <c r="C9" i="193"/>
  <c r="C16" i="193"/>
  <c r="E16" i="193" s="1"/>
  <c r="C11" i="193"/>
  <c r="E11" i="193" s="1"/>
  <c r="C12" i="193"/>
  <c r="E12" i="193" s="1"/>
  <c r="C14" i="193"/>
  <c r="F14" i="193" s="1"/>
  <c r="C15" i="193"/>
  <c r="E15" i="193" s="1"/>
  <c r="C17" i="193"/>
  <c r="E17" i="193" s="1"/>
  <c r="C18" i="193"/>
  <c r="F18" i="193" s="1"/>
  <c r="C13" i="193"/>
  <c r="F13" i="193" s="1"/>
  <c r="C19" i="193"/>
  <c r="E19" i="193" s="1"/>
  <c r="C20" i="193"/>
  <c r="F20" i="193" s="1"/>
  <c r="B28" i="187"/>
  <c r="C28" i="187" s="1"/>
  <c r="B27" i="187"/>
  <c r="C27" i="187" s="1"/>
  <c r="B26" i="187"/>
  <c r="C26" i="187" s="1"/>
  <c r="B25" i="187"/>
  <c r="C25" i="187" s="1"/>
  <c r="B24" i="187"/>
  <c r="C24" i="187" s="1"/>
  <c r="B23" i="187"/>
  <c r="C23" i="187" s="1"/>
  <c r="B22" i="187"/>
  <c r="B21" i="187"/>
  <c r="B20" i="187"/>
  <c r="B19" i="187"/>
  <c r="B18" i="187"/>
  <c r="B17" i="187"/>
  <c r="B16" i="187"/>
  <c r="B15" i="187"/>
  <c r="B14" i="187"/>
  <c r="B13" i="187"/>
  <c r="B12" i="187"/>
  <c r="B11" i="187"/>
  <c r="B10" i="187"/>
  <c r="B9" i="187"/>
  <c r="B42" i="185"/>
  <c r="C42" i="185" s="1"/>
  <c r="B41" i="185"/>
  <c r="C41" i="185" s="1"/>
  <c r="B40" i="185"/>
  <c r="C40" i="185" s="1"/>
  <c r="B39" i="185"/>
  <c r="C39" i="185" s="1"/>
  <c r="B38" i="185"/>
  <c r="C38" i="185" s="1"/>
  <c r="B37" i="185"/>
  <c r="C37" i="185" s="1"/>
  <c r="B36" i="185"/>
  <c r="B35" i="185"/>
  <c r="B34" i="185"/>
  <c r="C34" i="185" s="1"/>
  <c r="B33" i="185"/>
  <c r="B32" i="185"/>
  <c r="B31" i="185"/>
  <c r="B30" i="185"/>
  <c r="B29" i="185"/>
  <c r="B28" i="185"/>
  <c r="B27" i="185"/>
  <c r="B26" i="185"/>
  <c r="C26" i="185" s="1"/>
  <c r="B25" i="185"/>
  <c r="B24" i="185"/>
  <c r="B23" i="185"/>
  <c r="D16" i="4"/>
  <c r="D9" i="187" a="1"/>
  <c r="D9" i="187" s="1"/>
  <c r="E9" i="193" l="1"/>
  <c r="C21" i="193"/>
  <c r="F10" i="193"/>
  <c r="F9" i="193"/>
  <c r="F16" i="193"/>
  <c r="F11" i="193"/>
  <c r="F17" i="193"/>
  <c r="E18" i="193"/>
  <c r="F15" i="193"/>
  <c r="F12" i="193"/>
  <c r="E13" i="193"/>
  <c r="E14" i="193"/>
  <c r="E20" i="193"/>
  <c r="F19" i="193"/>
  <c r="C24" i="185"/>
  <c r="C20" i="187"/>
  <c r="C36" i="185"/>
  <c r="C23" i="185"/>
  <c r="C35" i="185"/>
  <c r="C31" i="185"/>
  <c r="C32" i="185"/>
  <c r="C33" i="185"/>
  <c r="C9" i="187"/>
  <c r="C10" i="187"/>
  <c r="C22" i="187"/>
  <c r="C25" i="185"/>
  <c r="C27" i="185"/>
  <c r="C28" i="185"/>
  <c r="C29" i="185"/>
  <c r="C30" i="185"/>
  <c r="C12" i="187"/>
  <c r="C14" i="187"/>
  <c r="C15" i="187"/>
  <c r="C21" i="187"/>
  <c r="C16" i="187"/>
  <c r="C11" i="187"/>
  <c r="C17" i="187"/>
  <c r="C13" i="187"/>
  <c r="C18" i="187"/>
  <c r="C19" i="187"/>
  <c r="C11" i="185"/>
  <c r="C13" i="185"/>
  <c r="G31" i="4"/>
  <c r="E21" i="193" l="1"/>
  <c r="E17" i="187"/>
  <c r="E19" i="187"/>
  <c r="E20" i="187"/>
  <c r="E21" i="187"/>
  <c r="E11" i="187"/>
  <c r="E12" i="187"/>
  <c r="C6" i="187"/>
  <c r="C6" i="185"/>
  <c r="C16" i="185"/>
  <c r="E9" i="187"/>
  <c r="E10" i="187"/>
  <c r="E13" i="187"/>
  <c r="E14" i="187"/>
  <c r="E15" i="187"/>
  <c r="E22" i="187"/>
  <c r="E25" i="187"/>
  <c r="E18" i="187"/>
  <c r="E24" i="187"/>
  <c r="E26" i="187"/>
  <c r="E23" i="187"/>
  <c r="E27" i="187"/>
  <c r="E16" i="187"/>
  <c r="E28" i="187"/>
  <c r="C15" i="185"/>
  <c r="C20" i="185"/>
  <c r="C14" i="185"/>
  <c r="C17" i="185"/>
  <c r="C18" i="185"/>
  <c r="C12" i="185"/>
  <c r="C10" i="185"/>
  <c r="C9" i="185"/>
  <c r="C19" i="185"/>
  <c r="F21" i="187" l="1"/>
  <c r="F13" i="187"/>
  <c r="F28" i="187"/>
  <c r="F19" i="187"/>
  <c r="F22" i="187"/>
  <c r="F14" i="187"/>
  <c r="F27" i="187"/>
  <c r="F11" i="187"/>
  <c r="F24" i="187"/>
  <c r="F12" i="187"/>
  <c r="F15" i="187"/>
  <c r="F18" i="187"/>
  <c r="F16" i="187"/>
  <c r="F17" i="187"/>
  <c r="F20" i="187"/>
  <c r="F10" i="187"/>
  <c r="F23" i="187"/>
  <c r="F25" i="187"/>
  <c r="F9" i="187"/>
  <c r="F26" i="187"/>
  <c r="E29" i="18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<sst xmlns="http://schemas.openxmlformats.org/spreadsheetml/2006/main" count="3946" uniqueCount="538">
  <si>
    <t>Location</t>
  </si>
  <si>
    <t>Description</t>
  </si>
  <si>
    <t>Amount</t>
  </si>
  <si>
    <t>Date</t>
  </si>
  <si>
    <t>Merchant Category</t>
  </si>
  <si>
    <t>Company's Description</t>
  </si>
  <si>
    <t>Category</t>
  </si>
  <si>
    <t>Company</t>
  </si>
  <si>
    <t>Name:</t>
  </si>
  <si>
    <t>Last Update File:</t>
  </si>
  <si>
    <t>Last Update:</t>
  </si>
  <si>
    <t>Trans No.</t>
  </si>
  <si>
    <t>Added Date</t>
  </si>
  <si>
    <t>Version</t>
  </si>
  <si>
    <t>Expense Tracking</t>
  </si>
  <si>
    <t>Source File</t>
  </si>
  <si>
    <t>Account</t>
  </si>
  <si>
    <t>Company Name</t>
  </si>
  <si>
    <t>Account Type</t>
  </si>
  <si>
    <t>Are Transactions Negative?</t>
  </si>
  <si>
    <t>Date Col</t>
  </si>
  <si>
    <t>Description Col</t>
  </si>
  <si>
    <t>Category Col</t>
  </si>
  <si>
    <t>First Transaction Row</t>
  </si>
  <si>
    <t>Are there multiple transaction columns?</t>
  </si>
  <si>
    <t>Amt Col</t>
  </si>
  <si>
    <t>Deposits Col</t>
  </si>
  <si>
    <t>Withdrawals Col</t>
  </si>
  <si>
    <t>N/A</t>
  </si>
  <si>
    <t/>
  </si>
  <si>
    <t>WHOLEFDS SPG#10599</t>
  </si>
  <si>
    <t>Entertainment</t>
  </si>
  <si>
    <t>Groceries</t>
  </si>
  <si>
    <t>Alcohol</t>
  </si>
  <si>
    <t>Set up your budget here:</t>
  </si>
  <si>
    <t>Clothing</t>
  </si>
  <si>
    <t>NINTENDO    *AMERICAUS</t>
  </si>
  <si>
    <t>TARGET        00012690</t>
  </si>
  <si>
    <t>WILLIAMS SONOMA 6291</t>
  </si>
  <si>
    <t>WEGMANS KING #48</t>
  </si>
  <si>
    <t>TST* MOKJA</t>
  </si>
  <si>
    <t>GIANT  6510</t>
  </si>
  <si>
    <t>THE PIZZA BOX</t>
  </si>
  <si>
    <t>RUGSUSA HOLDINGS INC</t>
  </si>
  <si>
    <t>TARGET        00011593</t>
  </si>
  <si>
    <t>GETTY CTR CAFE51154292</t>
  </si>
  <si>
    <t>Discover Credit</t>
  </si>
  <si>
    <t>IKEA CONSHOHOCKEN CONSHOHOCKEN PA</t>
  </si>
  <si>
    <t>TARGET PLYMOUTH MEETPA</t>
  </si>
  <si>
    <t>PHILLYS PHAMOUS STEAKS AMBLER PA</t>
  </si>
  <si>
    <t>Restaurant</t>
  </si>
  <si>
    <t>Travel</t>
  </si>
  <si>
    <t>Gift</t>
  </si>
  <si>
    <t>Gas</t>
  </si>
  <si>
    <t>Dog</t>
  </si>
  <si>
    <t>Health</t>
  </si>
  <si>
    <t>Car</t>
  </si>
  <si>
    <t>Total budget:</t>
  </si>
  <si>
    <t>Total Expenses:</t>
  </si>
  <si>
    <t>January</t>
  </si>
  <si>
    <t>February</t>
  </si>
  <si>
    <t>March</t>
  </si>
  <si>
    <t>April</t>
  </si>
  <si>
    <t>May</t>
  </si>
  <si>
    <t>June</t>
  </si>
  <si>
    <t>July</t>
  </si>
  <si>
    <t>August</t>
  </si>
  <si>
    <t>September</t>
  </si>
  <si>
    <t>October</t>
  </si>
  <si>
    <t>November</t>
  </si>
  <si>
    <t>December</t>
  </si>
  <si>
    <t>Month</t>
  </si>
  <si>
    <t>Select Year:</t>
  </si>
  <si>
    <t>All</t>
  </si>
  <si>
    <t>Select Month:</t>
  </si>
  <si>
    <t>Monthly Expenses Dashboard</t>
  </si>
  <si>
    <t>Budget</t>
  </si>
  <si>
    <t>Amount Spent</t>
  </si>
  <si>
    <t>Total difference:</t>
  </si>
  <si>
    <t>Amount Difference</t>
  </si>
  <si>
    <t>% of Spending</t>
  </si>
  <si>
    <t>-</t>
  </si>
  <si>
    <t>Created by: Josh Petersheim (@joshpetersheim)</t>
  </si>
  <si>
    <t>Annual Expenses Dashboard</t>
  </si>
  <si>
    <t>Uncategorized Expenses:</t>
  </si>
  <si>
    <t>Month_List</t>
  </si>
  <si>
    <t>Year_List</t>
  </si>
  <si>
    <t>Category Expenses Dashboard</t>
  </si>
  <si>
    <t>Select Category:</t>
  </si>
  <si>
    <t>Cat_List</t>
  </si>
  <si>
    <t>Average:</t>
  </si>
  <si>
    <t>Aly_BBT_Checking_Acct_3515_01_01_2020_to_12_31_2020.CSV</t>
  </si>
  <si>
    <t>APPLE.COM/BILL 12-31 866-712-775 3 CA 3340 DEBIT CARD RECURRING PYMT</t>
  </si>
  <si>
    <t>BBT Checking</t>
  </si>
  <si>
    <t>AMERICAN AIR001028 01-03 FORT WO RTH TX 3340 DEBIT CARD PURCHASE</t>
  </si>
  <si>
    <t>GIANT 6448 01-04-20 STOWE PA 334 0 DEBIT CARD PURCHASE-PIN</t>
  </si>
  <si>
    <t>AC MOORE STR #157 01-04-20 POTTS TOWN PA 3340 DEBIT CARD PURCHASE-PIN</t>
  </si>
  <si>
    <t>GIANT FUEL 6448 01-05 STOWE PA 3 340 DEBIT CARD PURCHASE</t>
  </si>
  <si>
    <t>WP 53 COFFEE 1816 01-06 WEST POI NT PA 3340 DEBIT CARD PURCHASE</t>
  </si>
  <si>
    <t>GUACAMOBILE 1152 01-08 RYE BROOK NY 3340 DEBIT CARD PURCHASE</t>
  </si>
  <si>
    <t>CMSVEND*CV PHOENIX 01-08 PHOENIX VILLE PA 3340 DEBIT CARD PURCHASE</t>
  </si>
  <si>
    <t>SQ *BACKYARD BEANS 01-10 LANSDAL E PA 3340 DEBIT CARD PURCHASE</t>
  </si>
  <si>
    <t>WAWA 157 01-10-20 NORTH WALES PA 3340 DEBIT CARD PURCHASE-PIN</t>
  </si>
  <si>
    <t>GIANT 6510 01-11-20 SPRING HOUSE PA 3340 DEBIT CARD PURCHASE-PIN</t>
  </si>
  <si>
    <t>PHILADELPHIA FREED 01-11 215-963 -3700 PA 3340 DEBIT CARD PURCHASE</t>
  </si>
  <si>
    <t>WEGMANS MONTGOME 500 MONT 01-12- 20 NORTH WALES PA 3340 DEBIT CARD PURCHASE-PIN</t>
  </si>
  <si>
    <t>WAWA 143 01-14-20 SKIPPACK PA 33 40 DEBIT CARD PURCHASE-PIN</t>
  </si>
  <si>
    <t>WP 53 CAFE 1916 01-14 WEST POINT PA 3340 DEBIT CARD PURCHASE</t>
  </si>
  <si>
    <t>WHOLEFDS SPG#105 1111 N B 01-16- 20 SPRINGHOUSE PA 3340 DEBIT CARD PURCHASE-PIN</t>
  </si>
  <si>
    <t>SWEETBRIAR ICE CRE 01-18 AMBLER PA 3340 DEBIT CARD PURCHASE</t>
  </si>
  <si>
    <t>TARGET T-2548 100 UPLAND 01-18-2 0 POTTSTOWN PA 3340 DEBIT CARD PURCHASE-PIN</t>
  </si>
  <si>
    <t>SQ *SCENT &amp; SIP 01-19 LANSDALE P A 3340 DEBIT CARD PURCHASE</t>
  </si>
  <si>
    <t>APPLE.COM/BILL 01-20 866-712-775 3 CA 3340 DEBIT CARD RECURRING PYMT</t>
  </si>
  <si>
    <t>BEAR CREEK MOUNTAI 01-20 6106827 100 PA 3340 DEBIT CARD PURCHASE</t>
  </si>
  <si>
    <t>AMZN Mktp US*5B50E 01-23 Amzn.co m/bill WA 3340 DEBIT CARD PURCHASE</t>
  </si>
  <si>
    <t>SUNOCO 0972601900 01-22-20 NORTH WALES PA 3340 DEBIT CARD PURCHASE-PIN</t>
  </si>
  <si>
    <t>PARCHMENT - UNIV D 01-24 480-719 -1646 AZ 3340 DEBIT CARD PURCHASE</t>
  </si>
  <si>
    <t>NCS*GRAD MGMT TEST 01-24 952-681 -3000 MN 3340 DEBIT CARD PURCHASE</t>
  </si>
  <si>
    <t>ACME 0721 01-23-20 PHOENIXVILLE PA 3340 DEBIT CARD PURCHASE-PIN</t>
  </si>
  <si>
    <t>OKI SUSHI INC. 01-24 LANSDALE PA 3340 DEBIT CARD PURCHASE</t>
  </si>
  <si>
    <t>CNS WINE AND SPIRIT130065 01-25- 20 AMBLER PA 3340 DEBIT CARD PURCHASE-PIN</t>
  </si>
  <si>
    <t>Amazon.com*JV01O0V 01-26 Amzn.co m/bill WA 3340 DEBIT CARD PURCHASE</t>
  </si>
  <si>
    <t>FREEPRINTS 01-26 8772488906 CA 3 340 DEBIT CARD PURCHASE</t>
  </si>
  <si>
    <t>APPLE.COM/BILL 01-27 866-712-775 3 CA 3340 DEBIT CARD RECURRING PYMT</t>
  </si>
  <si>
    <t>GIANT 6510 01-28-20 SPRING HOUSE PA 3340 DEBIT CARD PURCHASE-PIN</t>
  </si>
  <si>
    <t>CELEBRITY SPA II L 01-29 AMBLER PA 3340 DEBIT CARD PURCHASE</t>
  </si>
  <si>
    <t>Spotify USA 01-30 877-7781161 NY 3340 DEBIT CARD RECURRING PYMT</t>
  </si>
  <si>
    <t>ALICE BAKERY &amp; CON 02-01 AMBLER PA 3340 DEBIT CARD PURCHASE</t>
  </si>
  <si>
    <t>SEPHORA 1140 02-01-20 NORTH WALE S PA 3340 DEBIT CARD PURCHASE-PIN</t>
  </si>
  <si>
    <t>WEGMANS MONTGOME 500 MONT 02-01- 20 NORTH WALES PA 3340 DEBIT CARD PURCHASE-PIN</t>
  </si>
  <si>
    <t>SQ *TABORA FARMS 02-06 Chalfont PA 3340 DEBIT CARD PURCHASE</t>
  </si>
  <si>
    <t>APPLE.COM/BILL 02-08 866-712-775 3 CA 3340 DEBIT CARD PURCHASE</t>
  </si>
  <si>
    <t>SUNOCO 0012149112 02-07-20 BLUE BELL PA 3340 DEBIT CARD PURCHASE-PIN</t>
  </si>
  <si>
    <t>SQ *BOYD'S CARDINA 02-08 LANSDAL E PA 3340 DEBIT CARD PURCHASE</t>
  </si>
  <si>
    <t>WP 53 CAFE 1916 02-13 WEST POINT PA 3340 DEBIT CARD PURCHASE</t>
  </si>
  <si>
    <t>SNOW.COM/VAIL RESO 02-14 888-838 -0495 CO 3340 DEBIT CARD PURCHASE</t>
  </si>
  <si>
    <t>STOWE F&amp;B 02-15 STOWE VT 3340 DE BIT CARD PURCHASE</t>
  </si>
  <si>
    <t>CUMBERLAND FARMS 1556 02-17-20 F ORT ANN NY 3340 DEBIT CARD PURCHASE-PIN</t>
  </si>
  <si>
    <t>AMZN Mktp US*TO3XO 02-19 Amzn.co m/bill WA 3340 DEBIT CARD PURCHASE</t>
  </si>
  <si>
    <t>JOHN KENNEDY CONSH 02-18 CONSHOH OCKEN PA 3340 DEBIT CARD PURCHASE</t>
  </si>
  <si>
    <t>GIANT 6510 02-18-20 SPRING HOUSE PA 3340 DEBIT CARD PURCHASE-PIN</t>
  </si>
  <si>
    <t>AMAZON.COM*UG2UU5V 02-19 AMZN.CO M/BILL WA 3340 DEBIT CARD PURCHASE</t>
  </si>
  <si>
    <t>APPLE.COM/BILL 02-20 866-712-775 3 CA 3340 DEBIT CARD RECURRING PYMT</t>
  </si>
  <si>
    <t>SUNOCO 0363004304 02-21-20 NORTH WALES PA 3340 DEBIT CARD PURCHASE-PIN</t>
  </si>
  <si>
    <t>WHOLEFDS SPG#105 1111 N B 02-23- 20 SPRINGHOUSE PA 3340 DEBIT CARD PURCHASE-PIN</t>
  </si>
  <si>
    <t>EDIBLE ARRANGEMENT 02-25 877-363 -7848 GA 3340 DEBIT CARD PURCHASE</t>
  </si>
  <si>
    <t>CARL'S TV AND VACU 02-26 LANSDAL E PA 3340 DEBIT CARD PURCHASE</t>
  </si>
  <si>
    <t>Spotify USA 02-29 877-7781161 NY 3340 DEBIT CARD RECURRING PYMT</t>
  </si>
  <si>
    <t>SHELL FOOD MART 03-07-20 AMBLER PA 3340 ATM NETWORK CASH WITHDRAWAL</t>
  </si>
  <si>
    <t>03-07-20 AMBLER PA 3340 SHELL FO OD MART DEBIT CARD NON-BBT ATM FEE</t>
  </si>
  <si>
    <t>PTC EZ PASS AUTO R 03-09 877-736 -6727 PA 3340 DEBIT CARD PURCHASE</t>
  </si>
  <si>
    <t>03-10-20 PLYMOUTH MTG PA 3340 PN C BANK DEBIT CARD NON-BBT ATM FEE</t>
  </si>
  <si>
    <t>PNC BANK 03-10-20 PLYMOUTH MTG P A 3340 ATM NETWORK CASH WITHDRAWAL</t>
  </si>
  <si>
    <t>APPLE.COM/BILL 03-20 866-712-775 3 CA 3340 DEBIT CARD RECURRING PYMT</t>
  </si>
  <si>
    <t>UNI-MART #342 03-21-20 ALLENTOWN PA 3340 DEBIT CARD PURCHASE-PIN</t>
  </si>
  <si>
    <t>TARGET T-1159 125 WITCHWO 03-22- 20 NORTH WALES PA 3340 DEBIT CARD PURCHASE-PIN</t>
  </si>
  <si>
    <t>UNIV OF DE WEB PYM 03-23 302-831 -8716 DE 3340 DEBIT CARD PURCHASE</t>
  </si>
  <si>
    <t>Spotify USA 03-30 877-7781161 NY 3340 DEBIT CARD RECURRING PYMT</t>
  </si>
  <si>
    <t>COSTCO WHSE #1081 04-02-20 POTTS TOWN PA 3340 DEBIT CARD PURCHASE-PIN</t>
  </si>
  <si>
    <t>CARL'S TV AND VACU 04-09 LANSDAL E PA 3340 DEBIT CARD PURCHASE</t>
  </si>
  <si>
    <t>APPLE.COM/BILL 04-20 866-712-775 3 CA 3340 DEBIT CARD RECURRING PYMT</t>
  </si>
  <si>
    <t>04-21-20 VISA DIRECT NY 3340 VEN MO* VISA MONEY TRANSFER DEBIT</t>
  </si>
  <si>
    <t>Spotify USA 04-30 877-7781161 NY 3340 DEBIT CARD RECURRING PYMT</t>
  </si>
  <si>
    <t>COSTCO WHSE #0248 05-01-20 NORTH WALES PA 3340 DEBIT CARD PURCHASE-PIN</t>
  </si>
  <si>
    <t>RELIEVUS 05-05 MTLAUREL NJ 3340 DEBIT CARD PURCHASE</t>
  </si>
  <si>
    <t>PTC EZ PASS AUTO R 05-13 877-736 -6727 PA 3340 DEBIT CARD PURCHASE</t>
  </si>
  <si>
    <t>GULF OIL 92046373 05-16 MECHANIC SBURG PA 3340 DEBIT CARD PURCHASE</t>
  </si>
  <si>
    <t>PARCHMENT - UNIV D 05-19 480-719 -1646 AZ 3340 DEBIT CARD PURCHASE</t>
  </si>
  <si>
    <t>APPLE.COM/BILL 05-20 866-712-775 3 CA 3340 DEBIT CARD RECURRING PYMT</t>
  </si>
  <si>
    <t>Spotify USA 05-30 877-7781161 NY 3340 DEBIT CARD RECURRING PYMT</t>
  </si>
  <si>
    <t>WAWA 8021 05-31-20 QUAKERTOWN PA 3340 DEBIT CARD PURCHASE-PIN</t>
  </si>
  <si>
    <t>APPLE.COM/BILL 06-02 866-712-775 3 CA 3340 DEBIT CARD PURCHASE</t>
  </si>
  <si>
    <t>PTC EZ PASS AUTO R 06-05 877-736 -6727 PA 3340 DEBIT CARD PURCHASE</t>
  </si>
  <si>
    <t>WAWA 141 06-09-20 ROYERSFORD PA 3340 DEBIT CARD PURCHASE-PIN</t>
  </si>
  <si>
    <t>JEFFERSON OUTPATIE 06-19 PHILADE LPHIA PA 3340 DEBIT CARD PURCHASE</t>
  </si>
  <si>
    <t>APPLE.COM/BILL 06-20 408-974-101 0 CA 3340 DEBIT CARD RECURRING PYMT</t>
  </si>
  <si>
    <t>PNC BANK 06-20-20 PHOENIXVILLE P A 3340 ATM NETWORK CASH WITHDRAWAL</t>
  </si>
  <si>
    <t>SUNOCO 0961075903 06-26-20 PLYMO UTH MEET PA 3340 DEBIT CARD PURCHASE-PIN</t>
  </si>
  <si>
    <t>Spotify USA 06-30 877-7781161 NY 3340 DEBIT CARD RECURRING PYMT</t>
  </si>
  <si>
    <t>PETSMART # 0562 06-30-20 PLYMOUT H MEET PA 3340 DEBIT CARD PURCHASE-PIN</t>
  </si>
  <si>
    <t>WAWA 292 07-01-20 EAST NORRITON PA 3340 DEBIT CARD PURCHASE-PIN</t>
  </si>
  <si>
    <t>APPLE.COM/BILL 07-02 866-712-775 3 CA 3340 DEBIT CARD RECURRING PYMT</t>
  </si>
  <si>
    <t>MSP*ROTHMAN RECON 07-16 267-339- 3758 PA 3340 DEBIT CARD PURCHASE</t>
  </si>
  <si>
    <t>JEFFERSON OUTPATIE 07-16 215-503 -4909 PA 3340 DEBIT CARD PURCHASE</t>
  </si>
  <si>
    <t>AMBLER SAVINGS 07-18-20 AMBLER P A 3340 ATM NETWORK CASH WITHDRAWAL</t>
  </si>
  <si>
    <t>APPLE.COM/BILL 07-20 408-974-101 0 CA 3340 DEBIT CARD RECURRING PYMT</t>
  </si>
  <si>
    <t>PTC EZ PASS AUTO R 07-26 877-736 -6727 PA 3340 DEBIT CARD PURCHASE</t>
  </si>
  <si>
    <t>APPLE.COM/BILL 07-28 866-712-775 3 CA 3340 DEBIT CARD RECURRING PYMT</t>
  </si>
  <si>
    <t>Spotify USA 07-30 877-7781161 NY 3340 DEBIT CARD RECURRING PYMT</t>
  </si>
  <si>
    <t>PTC EZ PASS AUTO R 08-16 877-736 -6727 PA 3340 DEBIT CARD PURCHASE</t>
  </si>
  <si>
    <t>APPLE.COM/BILL 08-20 866-712-775 3 CA 3340 DEBIT CARD RECURRING PYMT</t>
  </si>
  <si>
    <t>PNC BANK 08-27-20 LAFAYTTE HILL PA 3340 ATM NETWORK CASH WITHDRAWAL</t>
  </si>
  <si>
    <t>APPLE.COM/BILL 08-28 866-712-775 3 CA 3340 DEBIT CARD RECURRING PYMT</t>
  </si>
  <si>
    <t>Spotify USA 08-30 877-7781161 NY 3340 DEBIT CARD RECURRING PYMT</t>
  </si>
  <si>
    <t>FREEPRINTS 09-08 8772488906 CA 3 340 DEBIT CARD PURCHASE</t>
  </si>
  <si>
    <t>APPLE.COM/BILL 09-21 408-974-101 0 CA 3340 DEBIT CARD RECURRING PYMT</t>
  </si>
  <si>
    <t>MSP*ROTHMAN RECON 09-21 267-339- 3758 PA 3340 DEBIT CARD PURCHASE</t>
  </si>
  <si>
    <t>WAWA 8101 0008 09-22 MONTGOMERYV IL PA 3340 DEBIT CARD PURCHASE</t>
  </si>
  <si>
    <t>COMPLETE FAMILY EY 09-25 GILBERT SVILLE PA 3340 DEBIT CARD PURCHASE</t>
  </si>
  <si>
    <t>APPLE.COM/BILL 09-29 866-712-775 3 CA 3340 DEBIT CARD RECURRING PYMT</t>
  </si>
  <si>
    <t>Spotify USA 09-30 877-7781161 NY 3340 DEBIT CARD PURCHASE</t>
  </si>
  <si>
    <t>SQ *SPRINGHOUSEDER 10-05 Spring House PA 3340 DEBIT CARD PURCHASE</t>
  </si>
  <si>
    <t>WAWA 143 0000 10-09 SKIPPACK PA 3340 DEBIT CARD PURCHASE</t>
  </si>
  <si>
    <t>APPLE.COM/BILL 10-20 866-712-775 3 CA 3340 DEBIT CARD RECURRING PYMT</t>
  </si>
  <si>
    <t>APPLE.COM/BILL 10-28 866-712-775 3 CA 3340 DEBIT CARD RECURRING PYMT</t>
  </si>
  <si>
    <t>Spotify USA 10-30 877-7781161 NY 3340 DEBIT CARD RECURRING PYMT</t>
  </si>
  <si>
    <t>PTC EZ PASS CSC 11-03 state.pa.u s PA 3340 DEBIT CARD PURCHASE</t>
  </si>
  <si>
    <t>COSTCO WHSE #0248 11-06-20 NORTH WALES PA 3340 DEBIT CARD PURCHASE-PIN</t>
  </si>
  <si>
    <t>SUNOCO 0576535900 11-06-20 HERSH EY PA 3340 DEBIT CARD PURCHASE-PIN</t>
  </si>
  <si>
    <t>FEE $03.00 ALLYBK CK WEBXFR 2721 895911 BB&amp;T ONLINE EXTERNAL TRNSF-DR</t>
  </si>
  <si>
    <t>PTC EZ PASS AUTO R 11-15 877-736 -6727 PA 3340 DEBIT CARD PURCHASE</t>
  </si>
  <si>
    <t>FISHERS ACE &amp; RENT 11-15 LANSDAL E PA 3340 DEBIT CARD PURCHASE</t>
  </si>
  <si>
    <t>PETVALU #5192 11-16-20 SPRINGHOU SE PA 3340 DEBIT CARD PURCHASE-PIN</t>
  </si>
  <si>
    <t>THE HOME DEPOT 4104 11-17-20 LAN SDALE PA 3340 DEBIT CARD PURCHASE-PIN</t>
  </si>
  <si>
    <t>APPLE.COM/BILL 11-20 866-712-775 3 CA 3340 DEBIT CARD RECURRING PYMT</t>
  </si>
  <si>
    <t>WAWA 143 0000 11-22 SKIPPACK PA 3340 DEBIT CARD PURCHASE</t>
  </si>
  <si>
    <t>APPLE.COM/BILL 11-28 866-712-775 3 CA 3340 DEBIT CARD RECURRING PYMT</t>
  </si>
  <si>
    <t>Spotify USA 11-30 877-7781161 NY 3340 DEBIT CARD RECURRING PYMT</t>
  </si>
  <si>
    <t>MSP*ROTHMAN RECON 11-30 267-339- 3758 PA 3340 DEBIT CARD PURCHASE</t>
  </si>
  <si>
    <t>PNC BANK 12-10-20 FT WASHINGTON PA 3340 ATM NETWORK CASH WITHDRAWAL</t>
  </si>
  <si>
    <t>APPLE.COM/BILL 12-20 866-712-775 3 CA 3340 DEBIT CARD RECURRING PYMT</t>
  </si>
  <si>
    <t>PTC EZ PASS AUTO R 12-22 877-736 -6727 PA 3340 DEBIT CARD PURCHASE</t>
  </si>
  <si>
    <t>Spotify USA 12-30 877-7781161 NY 3340 DEBIT CARD RECURRING PYMT</t>
  </si>
  <si>
    <t>Aly_CapitalOne_Credit_2021-01-10_transaction_download.csv</t>
  </si>
  <si>
    <t>CapitalOne Credit</t>
  </si>
  <si>
    <t>MCCAFFREY'S FOOD MAR</t>
  </si>
  <si>
    <t>AMZN Mktp US*ZT55C0273</t>
  </si>
  <si>
    <t>WANTABLE  ACTIVE</t>
  </si>
  <si>
    <t>BATH AND BODY WORKS 52</t>
  </si>
  <si>
    <t>CHICK-FIL-A #02923</t>
  </si>
  <si>
    <t>SEPHORA.COM</t>
  </si>
  <si>
    <t>AMZN Mktp US*QG07T4UW3</t>
  </si>
  <si>
    <t>CHICK-FIL-A #03225</t>
  </si>
  <si>
    <t>UNTUCKit</t>
  </si>
  <si>
    <t>WANTABLE  FITNESS</t>
  </si>
  <si>
    <t>Etsy.com - ItsyBitsyPa</t>
  </si>
  <si>
    <t>NORDSTROM #0629</t>
  </si>
  <si>
    <t>AMZN Mktp US*280ZF7AX2</t>
  </si>
  <si>
    <t>STOVE &amp; TAP</t>
  </si>
  <si>
    <t>SP * WILD ONE</t>
  </si>
  <si>
    <t>ACME 3824</t>
  </si>
  <si>
    <t>BOULEVARD SUPER LIQUOR</t>
  </si>
  <si>
    <t>WEGMANS #065</t>
  </si>
  <si>
    <t>WEGMANS #030</t>
  </si>
  <si>
    <t>TST* TIO JUAN MARGARIT</t>
  </si>
  <si>
    <t>PAYPAL *RELIEVUS</t>
  </si>
  <si>
    <t>GOLDEN HOUSE CHINESE R</t>
  </si>
  <si>
    <t>AMZN MKTP US*M415W3KO2</t>
  </si>
  <si>
    <t>FRANZONE S PIZZA</t>
  </si>
  <si>
    <t>SP * LUCY AVENUE INC</t>
  </si>
  <si>
    <t>SP * BRAXLEY BANDS</t>
  </si>
  <si>
    <t>THE UPS STORE 1493</t>
  </si>
  <si>
    <t>BED BATH &amp; BEYOND #304</t>
  </si>
  <si>
    <t>Taco Street Bar Kitche</t>
  </si>
  <si>
    <t>RIVERMARKET BAR AND KI</t>
  </si>
  <si>
    <t>BATH AND BODY WORKS 36</t>
  </si>
  <si>
    <t>SQ *PARSON S BBQ</t>
  </si>
  <si>
    <t>CRATE &amp; BARREL #623</t>
  </si>
  <si>
    <t>NEKTER JUICE BAR 8180</t>
  </si>
  <si>
    <t>PAPER DOLLS</t>
  </si>
  <si>
    <t>SEPHORA ENGLISH V</t>
  </si>
  <si>
    <t>009 KITTY HAWK KITES</t>
  </si>
  <si>
    <t>PHILS TAVERN</t>
  </si>
  <si>
    <t>CVS/PHARMACY #10061</t>
  </si>
  <si>
    <t>Amazon.com*MM8YD8M80</t>
  </si>
  <si>
    <t>STARBUCKS STORE 00764</t>
  </si>
  <si>
    <t>TST* MELODY S VIET-THA</t>
  </si>
  <si>
    <t>EVER GRAIN BREWING</t>
  </si>
  <si>
    <t>MISSION BBQ KING OF PR</t>
  </si>
  <si>
    <t>STARBUCKS STORE 11937</t>
  </si>
  <si>
    <t>BEST WINE &amp; SPIRITS</t>
  </si>
  <si>
    <t>AMBLER BEVERAGE EXCHAN</t>
  </si>
  <si>
    <t>THE NOBLE BEAR SALON</t>
  </si>
  <si>
    <t>SQ *TIPPY</t>
  </si>
  <si>
    <t>SP * DOUGHP COOKIE DOU</t>
  </si>
  <si>
    <t>Birkenstock</t>
  </si>
  <si>
    <t>NORDSTROM-RACK #0634</t>
  </si>
  <si>
    <t>KOHL'S #0276</t>
  </si>
  <si>
    <t>AMZN Mktp US*MV0F66F12</t>
  </si>
  <si>
    <t>Amazon.com*MV2FI3F82</t>
  </si>
  <si>
    <t>MOUNTAIN MODERN MOTEL</t>
  </si>
  <si>
    <t>WAWA 143      00001438</t>
  </si>
  <si>
    <t>AMZN MKTP US*MV8QV3CA1</t>
  </si>
  <si>
    <t>ALDI 60086</t>
  </si>
  <si>
    <t>STARBUCKS STORE 07838</t>
  </si>
  <si>
    <t>STARBUCKS STORE 23465</t>
  </si>
  <si>
    <t>HARVEST MOON SPA, INC</t>
  </si>
  <si>
    <t>URBANOUTFITTERS.COM</t>
  </si>
  <si>
    <t>WEGMANS # 43</t>
  </si>
  <si>
    <t>STARBUCKS STORE 00786</t>
  </si>
  <si>
    <t>REEF ECOMM</t>
  </si>
  <si>
    <t>Etsy.com - GrayFoxTrad</t>
  </si>
  <si>
    <t>STEVES GRILLED CHEESE-</t>
  </si>
  <si>
    <t>ACME #0996</t>
  </si>
  <si>
    <t>SMITHVILLE EATS</t>
  </si>
  <si>
    <t>WEGMANS MONTGOMERYVILL</t>
  </si>
  <si>
    <t>CVS/PHARMACY #08498</t>
  </si>
  <si>
    <t>AE OUTF ONLINE00029538</t>
  </si>
  <si>
    <t>PHILADELPHIA BAIL FUND</t>
  </si>
  <si>
    <t>LEES HOAGIES OF BLUE B</t>
  </si>
  <si>
    <t>SP * THE BUDDY BANDANA</t>
  </si>
  <si>
    <t>AMZN MKTP US*M77AO73R0</t>
  </si>
  <si>
    <t>TARGET        00025486</t>
  </si>
  <si>
    <t>PRIMO HOAGIES - EAST N</t>
  </si>
  <si>
    <t>SP * SKATIE</t>
  </si>
  <si>
    <t>TST* THE LUCKY WELL</t>
  </si>
  <si>
    <t>AMBLER PIZZA</t>
  </si>
  <si>
    <t>MICRO CENTER SAINT DAV</t>
  </si>
  <si>
    <t>SQ *BACKYARD BEANS COF</t>
  </si>
  <si>
    <t>AMZN MKTP US*LG2DF5323</t>
  </si>
  <si>
    <t>WAL-MART #3564</t>
  </si>
  <si>
    <t>AMZN MKTP US*O47O55C93</t>
  </si>
  <si>
    <t>VUE*TESTING/TRAIN SVC</t>
  </si>
  <si>
    <t>LIFEISGOOD.COM</t>
  </si>
  <si>
    <t>BEAN BOX</t>
  </si>
  <si>
    <t>SP * MANATAWNY</t>
  </si>
  <si>
    <t>AMZN MKTP US*084YT2NA3</t>
  </si>
  <si>
    <t>WWW.GLDN.COM</t>
  </si>
  <si>
    <t>GRUBHUBWAYBACKBURGER</t>
  </si>
  <si>
    <t>TST* TAVERN - BRENTWOO</t>
  </si>
  <si>
    <t>RAMEN TATSUNOYA</t>
  </si>
  <si>
    <t>SQ *JONES COFFEE ROAST</t>
  </si>
  <si>
    <t>SQ *SANTA MONICA BREW</t>
  </si>
  <si>
    <t>RALPHS #0210</t>
  </si>
  <si>
    <t>ERIN MCKENNAS BAKERY S</t>
  </si>
  <si>
    <t>RUSTYS</t>
  </si>
  <si>
    <t>SQ *PRIMO PASSO COFFEE</t>
  </si>
  <si>
    <t>BATH AND BODY WORKS 33</t>
  </si>
  <si>
    <t>TST* THE SWEET TACO</t>
  </si>
  <si>
    <t>POSTIANO COAST BY ALDO</t>
  </si>
  <si>
    <t>Aly_Credit_Discover-2020-YearEndSummary.xls</t>
  </si>
  <si>
    <t>TST* YARDBIRD SOUTHERN T MIAMI BEACH FL</t>
  </si>
  <si>
    <t>TST* TASTE BAKERY CAFE MIAMI BEACH FL</t>
  </si>
  <si>
    <t>BEDBATH&amp;BEYOND MONTGOMERY TWPA</t>
  </si>
  <si>
    <t>LOWE'S OF MONTGOMERYVILL LANSDALE PA</t>
  </si>
  <si>
    <t>ALLIANZ TRAVEL INS 800-628-5404 VA</t>
  </si>
  <si>
    <t>AMERICANAIR0012397604131 800-428-4322 TX</t>
  </si>
  <si>
    <t>AMERICANAIR0012397604132 800-428-4322 TX</t>
  </si>
  <si>
    <t>IBI*FABLETICS.COM 855-202-3570 CAIBI*FABLETICS.COM</t>
  </si>
  <si>
    <t>SEPHORA 1140 NORTH WALES PA11400003037606</t>
  </si>
  <si>
    <t>OUR PLACE RESTAURANT GILBERTSVILLEPA</t>
  </si>
  <si>
    <t>WHOLEFDS SPG#10599 SPRINGHOUSE PA</t>
  </si>
  <si>
    <t>BEDBATH&amp;BEYOND POTTSTOWN PA</t>
  </si>
  <si>
    <t>HOMEGOODS # 491 COLLEGEVILLE PA</t>
  </si>
  <si>
    <t>UBER EATS 866-576-1039 CA</t>
  </si>
  <si>
    <t>ULTA #362 COLLEGEVILLE PA</t>
  </si>
  <si>
    <t>RUGSUSA HOLDINGS INC 609-447-4515 NYORDERWS2664573</t>
  </si>
  <si>
    <t>TST* TEN 7 BREWING NORTH WALES PA</t>
  </si>
  <si>
    <t>TST* FOREST &amp; MAIN BREWI AMBLER PA</t>
  </si>
  <si>
    <t>GERTRUDE HAWK CHOCOLATES 570-342-7556 PA</t>
  </si>
  <si>
    <t>MEUNDIES.COM 8885526775 CA</t>
  </si>
  <si>
    <t>PITCHERS PUB PHILADELPHIA PA</t>
  </si>
  <si>
    <t>SQ *GSEP TROOP 7574 LANSDALE PA0002305843012746097469</t>
  </si>
  <si>
    <t>MAD RIVER BAR AND GRIL MANAYUNK PA</t>
  </si>
  <si>
    <t>BUCKMANS SKI SHOPS-MONTG MONTGOMERYVILPA</t>
  </si>
  <si>
    <t>TARGET NORTH WALES PA</t>
  </si>
  <si>
    <t>BUENO Y SANO SOUTH BURLINGVT</t>
  </si>
  <si>
    <t>STOWE F&amp;B STOWE VT</t>
  </si>
  <si>
    <t>STOWE MTN LODGE PANTRY STOWE VT</t>
  </si>
  <si>
    <t>STOWE SPRUCE PEAK #676 STOWE VT</t>
  </si>
  <si>
    <t>TST* AMERICAN FLATBREAD BURLINGTON VT</t>
  </si>
  <si>
    <t>NORDSTROM DIRECT #0808 CEDAR RAPIDS IA</t>
  </si>
  <si>
    <t>BRU PHILADELPHIA PA</t>
  </si>
  <si>
    <t>ZAGG INC SALTLAKECITY UT</t>
  </si>
  <si>
    <t>SEPHORA ENGLISH V NORTH WALES PA11400003040622</t>
  </si>
  <si>
    <t>TST* PORTA AT PHILLY PHILADELPHIA PA</t>
  </si>
  <si>
    <t>WP 53 CAFE 19162957937 WEST POINT PAAPPLE PAY ENDING IN 2144</t>
  </si>
  <si>
    <t>WP 53 COFFE18162941937 WEST POINT PAAPPLE PAY ENDING IN 2144</t>
  </si>
  <si>
    <t>TARGET POTTSTOWN PA</t>
  </si>
  <si>
    <t>FOOT LOCKER 25031 KING OF PRUSSPAAPPLE PAY ENDING IN 2144</t>
  </si>
  <si>
    <t>HARVEST MOON SPA, INC LAFAYETTE HILPA</t>
  </si>
  <si>
    <t>ROAD RUNNER SPORTS-713 KINGOFPRUSSIAPA02959R</t>
  </si>
  <si>
    <t>TST* FOREST AND MAIN BRE AMBLER PA</t>
  </si>
  <si>
    <t>VICTORIA'S SECRET 0800 KING OF PRUSSPAAPPLE PAY ENDING IN 2144</t>
  </si>
  <si>
    <t>BARNES &amp; NOBLE #2976 NORTH WALES PAAPPLE PAY ENDING IN 2144</t>
  </si>
  <si>
    <t>WAWA 43 SPRINGHOUSE PAAPPLE PAY ENDING IN 2144</t>
  </si>
  <si>
    <t>BURST ORAL CARE 8332877887 CA</t>
  </si>
  <si>
    <t>CMSVEND*CV PHOENIXVILLE PHOENIXVILLE PAAPPLE PAY ENDING IN 2144</t>
  </si>
  <si>
    <t>SQ *TABORA FARMS CHALFONT PA0002305843012821265596</t>
  </si>
  <si>
    <t>SUNOCO 0601290000 WESCOSVILLE PAAPPLE PAY ENDING IN 2144</t>
  </si>
  <si>
    <t>SHELL 10000386002 AMBLER PA</t>
  </si>
  <si>
    <t>AMERICANAIR0010617207807 800-428-4322 TX</t>
  </si>
  <si>
    <t>AMERICANAIR0010617207808 800-428-4322 TX</t>
  </si>
  <si>
    <t>BURRO SANTA MONICA SANTA MONICA CAAPPLE PAY ENDING IN 2144</t>
  </si>
  <si>
    <t>CVS/PHARMACY #03903 SANTA MONICA CAAPPLE PAY ENDING IN 2144</t>
  </si>
  <si>
    <t>TST* JAMBA JUICE - 1319 PHILADELPHIA PA</t>
  </si>
  <si>
    <t>UBER TRIP 866-576-1039 CA</t>
  </si>
  <si>
    <t>CVS/PHARMACY #09576 LOS ANGELES CAAPPLE PAY ENDING IN 2144</t>
  </si>
  <si>
    <t>UBER JUMP 866-576-1039 CA</t>
  </si>
  <si>
    <t>HUDSONNEWS ST980 CARSON CAAPPLE PAY ENDING IN 2144</t>
  </si>
  <si>
    <t>GRAD MGMT TEST 952-681-3000 MNGRAD MGMT TEST</t>
  </si>
  <si>
    <t>FULLY 888-508-3725 OR</t>
  </si>
  <si>
    <t>ROAD RUNNER *VIPFAMILY 855-860-0211 CA148589726</t>
  </si>
  <si>
    <t>THE HOME DEPOT #4104 LANSDALE PA</t>
  </si>
  <si>
    <t>GULF NORTH PENN LANSDALE PA</t>
  </si>
  <si>
    <t>WENDYS FLOWERS 1 GILBERTSVILLEPA</t>
  </si>
  <si>
    <t>WINE AND SPIRITS 4607 AMBLER PA</t>
  </si>
  <si>
    <t>WALGREENS #7366 NORRISTOWN PA</t>
  </si>
  <si>
    <t>SUNOCO 0368298601 HAMILTON TWP NJ</t>
  </si>
  <si>
    <t>CHEWY.COM 800-672-4399 FLPMT-FBVAX7C5YK</t>
  </si>
  <si>
    <t>MADDEN ANIMAL HOSPITAL 215-6411024 PA</t>
  </si>
  <si>
    <t>RHOADS GARDEN NORTH WALES PA</t>
  </si>
  <si>
    <t>CVS/PHARMACY #08498 AMBLER PA</t>
  </si>
  <si>
    <t>PETVALU #5192 SPRINGHOUSE PA</t>
  </si>
  <si>
    <t>AUTO SPA &amp; CARWASH BLUE BELL PA</t>
  </si>
  <si>
    <t>BURST ORAL CARE 833-287-7887 CA</t>
  </si>
  <si>
    <t>BRUEGGER'S BAGELS MORRISVILLE NC</t>
  </si>
  <si>
    <t>JAVAS BREWIN' ROYERSFORD PA</t>
  </si>
  <si>
    <t>SQ *SPRINGHOUSE DERMAT SPRING HOUSE PA0002305843012968290914</t>
  </si>
  <si>
    <t>ALICE BAKERY &amp; CONFECTIO NORTH WALES PA</t>
  </si>
  <si>
    <t>WAWA 300 SEA ISLE CITYNJ</t>
  </si>
  <si>
    <t>WAVE ONE STONE HARBOR STONE HARBOR NJ</t>
  </si>
  <si>
    <t>CANINE COUNTRY INC 215-641-9663 PA</t>
  </si>
  <si>
    <t>EXPERIENCE CHIROPRACTIC WAYNE PA</t>
  </si>
  <si>
    <t>METROPOLITAN VETERINAR NORRISTOWN PA</t>
  </si>
  <si>
    <t>CHEWY.COM 800-672-4399 FLPMT-1Y1TIP4TAJ</t>
  </si>
  <si>
    <t>SQ *LIBERTY MINISTRIES MONTGOMERYVILPA0001152921509334230076</t>
  </si>
  <si>
    <t>CANINE COUNTRY INC AMBLER PA</t>
  </si>
  <si>
    <t>ROYAL FARMS #132 KULPSVILLE PA</t>
  </si>
  <si>
    <t>TURKEY HILL #0274 TANNERSVILLE PA</t>
  </si>
  <si>
    <t>TLF*CHANTILLY FLORAL HARLEYSVILLE PA</t>
  </si>
  <si>
    <t>STARBUCKS STORE 07838 SPRINGHOUSE PA711472</t>
  </si>
  <si>
    <t>SUNOCO 0012149112 BLUE BELL PA</t>
  </si>
  <si>
    <t>EXXONMOBIL CLARKS SUMMITPA</t>
  </si>
  <si>
    <t>CHEWY.COM 800-672-4399 FLPMT-MBUFFN7EKA</t>
  </si>
  <si>
    <t>STARBUCKS 4PA23 MIDDLETOWN PA7185</t>
  </si>
  <si>
    <t>SUNOCO 0569111800 MIDDLETOWN PA</t>
  </si>
  <si>
    <t>JOHN KENNEDY CONSHOHOCKE CONSHOHOCKEN PA</t>
  </si>
  <si>
    <t>WAWA 8101 MONTGOMERYVILPA</t>
  </si>
  <si>
    <t>OB GAS AND CONVINIENCE COROLLA NC</t>
  </si>
  <si>
    <t>PAS*COLONIAL WMB PRK RICHMOND VA</t>
  </si>
  <si>
    <t>CITRUS SALON &amp; DAY SPA I BLUE BELL PA</t>
  </si>
  <si>
    <t>CHEWY.COM 800-672-4399 FLPMT-BJQEW9OS8Y</t>
  </si>
  <si>
    <t>SQ *JUICE POD AMBLER AMBLER PA0001152921509516163758</t>
  </si>
  <si>
    <t>AMBLER BEVERAGE EXCHANGE AMBLER PA</t>
  </si>
  <si>
    <t>SQ *TIPPY AMBLER PA0002305843013274334477</t>
  </si>
  <si>
    <t>THE NOBLE BEAR SALON AMBLER PA</t>
  </si>
  <si>
    <t>BASON COFFEE ROASTING DANVILLE PA</t>
  </si>
  <si>
    <t>PAYPAL *LONGBEI2012 402-935-7733 CA</t>
  </si>
  <si>
    <t>SQ *FEINE COFFEE AMBLER PA0002305843013309614771</t>
  </si>
  <si>
    <t>DUNKIN #348357 Q35 AMBLER PA</t>
  </si>
  <si>
    <t>SQ *BACKYARD BEANS COF LANSDALE PA0002305843013318666120</t>
  </si>
  <si>
    <t>HUDSON ST2054 PHILADELPHIA PA</t>
  </si>
  <si>
    <t>MAHAN DISCOUNT LIQUOR &amp; BROCKPORT NY</t>
  </si>
  <si>
    <t>SPEEDWAY 07734 BROCKPORT NY</t>
  </si>
  <si>
    <t>GUSTO ROCHESTER NY</t>
  </si>
  <si>
    <t>HARVARD BUS EDUCATION 617-783-7600 MA1943290</t>
  </si>
  <si>
    <t>VITALSOURCE TECHNOLOGIES 855-200-4146 TN</t>
  </si>
  <si>
    <t>SEPHORA ENGLISH V NORTH WALES PA11400002029593</t>
  </si>
  <si>
    <t>WEGMANS MONTGOMERYVILLE NORTH WALES PA</t>
  </si>
  <si>
    <t>DOORDASH*WAWA 6506819470 CAAPPLE PAY ENDING IN 2144</t>
  </si>
  <si>
    <t>STAINTONS GALLERY OF SHO OCEAN CITY NJ</t>
  </si>
  <si>
    <t>SQ *FEINE COFFEE AMBLER PA0002305843013348523517</t>
  </si>
  <si>
    <t>SQ *BACKYARD BEANS COF LANSDALE PA0002305843013356606089</t>
  </si>
  <si>
    <t>PARTY CITY 1179 NORTH WALES PA02847R</t>
  </si>
  <si>
    <t>SWEET ANNIE S AMBLER PA</t>
  </si>
  <si>
    <t>DOORDASH*EL LIMON 6506819470 CAAPPLE PAY ENDING IN 2144</t>
  </si>
  <si>
    <t>SQ *THE COPPER PARTRID HARLEYSVILLE PA0002305843013374652866</t>
  </si>
  <si>
    <t>THE SKIPPACK HOPE CHEST SKIPPACK PA</t>
  </si>
  <si>
    <t>JASPER'S BACKYARD CONSHOHOCKEN PA</t>
  </si>
  <si>
    <t>DOORDASH*IRON HILL BRE 6506819470 CAAPPLE PAY ENDING IN 2144</t>
  </si>
  <si>
    <t>RITE AID 06739 TYRONE PA</t>
  </si>
  <si>
    <t>SHEETZ 046100004614498 DUNCANNON PA</t>
  </si>
  <si>
    <t>RESIDENT* NECTAR 8888632827 CA</t>
  </si>
  <si>
    <t>BROWBAR PLYMOUTH MEETPA</t>
  </si>
  <si>
    <t>SQ *FEINE COFFEE AMBLER PA0002305843013412755923</t>
  </si>
  <si>
    <t>SUNOCO 0444280200 ELVERSON PA</t>
  </si>
  <si>
    <t>TROEGS BREWING COMPANY HERSHEY PA</t>
  </si>
  <si>
    <t>DD/BR #340911 Q35 DENVER PA</t>
  </si>
  <si>
    <t>DOORDASH*JULES THIN CR 6506819470 CAAPPLE PAY ENDING IN 2144</t>
  </si>
  <si>
    <t>WAHL CONSUMER 800-767-9245 IL</t>
  </si>
  <si>
    <t>CHEWY.COM 800-672-4399 FLPMT-MSR9VKK9SK</t>
  </si>
  <si>
    <t>SQ *BACKYARD BEANS COF AMBLER PA0002305843013437316513</t>
  </si>
  <si>
    <t>WAWA 43 SPRINGHOUSE PA</t>
  </si>
  <si>
    <t>CVS/PHARMACY #10061 AMBLER PA</t>
  </si>
  <si>
    <t>A EAGLE OUT00027896041 NORTH WALES PA</t>
  </si>
  <si>
    <t>BATH AND BODY WORKS 3341 NORTH WALES PA</t>
  </si>
  <si>
    <t>HOMEGOODS #0029 NORTH WALES PA</t>
  </si>
  <si>
    <t>MCCAFFREY'S FOOD MARKETS BLUE BELL PA</t>
  </si>
  <si>
    <t>OAKLEY B082 POTTSTOWN PA</t>
  </si>
  <si>
    <t>TOMMY HILFIGER #163 POTTSTOWN PA</t>
  </si>
  <si>
    <t>UNDER ARMOUR FACTORY 118 LIMERICK PA</t>
  </si>
  <si>
    <t>MAPLE DONUTS ST CHARLE YORK PA</t>
  </si>
  <si>
    <t>UNCOMMONGOODS 888-365-0056 NY</t>
  </si>
  <si>
    <t>CHICK-FIL-A #03225 MONTGOMERYVLEPA</t>
  </si>
  <si>
    <t>LEGO KING OF PRUSSPA</t>
  </si>
  <si>
    <t>PINKAL THREADING NORTH WALES PA</t>
  </si>
  <si>
    <t>SEPHORA KING OF PR KING OF PRUSSPA03760006075327</t>
  </si>
  <si>
    <t>WEAVERS WAY AMBLER AMBLER PA</t>
  </si>
  <si>
    <t>WINE AND SPIRITS 4632 NORTH WALES PA</t>
  </si>
  <si>
    <t>SQ *BACKYARD BEANS COF AMBLER PA0002305843013475940333</t>
  </si>
  <si>
    <t>SQ *SAGE AND GREY NAIL GOSQ.COM PA0001152921509712885558</t>
  </si>
  <si>
    <t>SQ *BACKYARD BEANS COF AMBLER PA0002305843013489729384</t>
  </si>
  <si>
    <t>DICKS CLOTHING &amp;SPORTING POTTSTOWN PA</t>
  </si>
  <si>
    <t>DICK'SSPORTINGGOODS.COM 877-846-9997 PADICK'SSPORTINGGOODS.COM</t>
  </si>
  <si>
    <t>ATHLETA US 2950 NORTH WALES PA01463R</t>
  </si>
  <si>
    <t>NJ EZPASS VIOLATIONS 888-288-6865 NJ</t>
  </si>
  <si>
    <t>ROKU, INC. 816-272-8107 CA</t>
  </si>
  <si>
    <t>BARNES &amp; NOBLE #2976 NORTH WALES PA</t>
  </si>
  <si>
    <t>CAPT.'N CHUCKY'S CRAB CA COLMAR PA</t>
  </si>
  <si>
    <t>MICHAELS STORES 9932 NORTH WALES PA9932004024662012221242</t>
  </si>
  <si>
    <t>LOVE PARK PHILADELPHIA PA</t>
  </si>
  <si>
    <t>SQ *ASANTE SANA ART PHILADELPHIA PA0002305843013528645432</t>
  </si>
  <si>
    <t>SQ *BELLA U @ HOLIDAY OCEAN CITY NJ0001152921509752120193</t>
  </si>
  <si>
    <t>SQ *CHRISTMAS VILLAGE PHILADELPHIA PA0002305843013528479269</t>
  </si>
  <si>
    <t>SQ *NEW LIBERTY DISTIL PHILADELPHIA PA0002305843013528726539</t>
  </si>
  <si>
    <t>CHEWY.COM 800-672-4399 FLPMT-OYI79FD6NS</t>
  </si>
  <si>
    <t>SQ *HERSHEL'S EAST SID PHILADELPHIA PA0002305843013539566502</t>
  </si>
  <si>
    <t>WINE AND SPIRITS 4657 PLYMOUTH MEETPA</t>
  </si>
  <si>
    <t>WINE AND SPIRITS 2402 SAINT MARYS PA</t>
  </si>
  <si>
    <t>CMSVEND*RON'S SNACK BAR LEWISTOWN PA</t>
  </si>
  <si>
    <t>TST* MOKJA AMBLER PA</t>
  </si>
  <si>
    <t>Giant</t>
  </si>
  <si>
    <t>Wegmans</t>
  </si>
  <si>
    <t>Wawa</t>
  </si>
  <si>
    <t>Fitness</t>
  </si>
  <si>
    <t>Utility</t>
  </si>
  <si>
    <t>Beans</t>
  </si>
  <si>
    <t>Recreation</t>
  </si>
  <si>
    <t>Shopping</t>
  </si>
  <si>
    <t>Cosmetics</t>
  </si>
  <si>
    <t>School</t>
  </si>
  <si>
    <t>Home</t>
  </si>
  <si>
    <t>ATM Fee</t>
  </si>
  <si>
    <t>Amount (monthly)</t>
  </si>
  <si>
    <t>1. On the "Main Tab", start by entering your name. This will also populate your name at the top of the "Expense List".</t>
  </si>
  <si>
    <t>a. Navigate to your bank's / credit card company's website and log in to your account</t>
  </si>
  <si>
    <t>b. Look for "Recent Transactions" / "Account Activity"</t>
  </si>
  <si>
    <t>c. Look for an option to download the data as a .CSV (CSV) or .XLSX (Excel) file</t>
  </si>
  <si>
    <t>2. Download the files listing your transactions from your bank. Banks seem to be constantly changing their online interfaces, so I will provide very general directions.</t>
  </si>
  <si>
    <t>3. Open the file and try to understand it. Which row does the list start in? Which column is the date in? etc.</t>
  </si>
  <si>
    <t>4. Leave the transactions file open and navigate to the "Main Tab" in this workbook. Click on the "Setup Data Import" button.</t>
  </si>
  <si>
    <t>5. A pop-up with all current saved accounts will appear. If you are just starting, the list will be empty. Click "Add new" to add your new account. Another window will pop-up. Fill out each of the details relating to your transaction file. If your transactions file doesn't have a column for one the specified asks leave it blank. Click "Save" and the close the "Accounts" window</t>
  </si>
  <si>
    <t>6. Import your file. If you are doing only one account, you can enter it manually. If you want to import multiple files with different companies or accounts, you can use the auto-import feature. This feature detects the company name and account type in the filename of the selected files. As long as they are set up in your Accounts, it will automatically import those transaction files.</t>
  </si>
  <si>
    <t>Instructions: Importing</t>
  </si>
  <si>
    <t>Instructions: Categorizing</t>
  </si>
  <si>
    <t xml:space="preserve">7. Once data has been imported, you should see that the "Uncategorized Expenses" value has jumped up. </t>
  </si>
  <si>
    <t>Compare Monthly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</si>
</sst>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164" formatCode="0.0"/>
    <numFmt numFmtId="165" formatCode="dd\-mmm\-yyyy"/>
    <numFmt numFmtId="166" formatCode="[$-409]d\-mmm\-yyyy;@"/>
  </numFmts>
  <fonts count="13" x14ac:knownFonts="1">
    <font>
      <sz val="11"/>
      <color theme="1"/>
      <name val="Calibri"/>
      <family val="2"/>
      <scheme val="minor"/>
    </font>
    <font>
      <sz val="11"/>
      <color theme="1"/>
      <name val="Calibri"/>
      <family val="2"/>
      <scheme val="minor"/>
    </font>
    <font>
      <sz val="11"/>
      <color theme="0"/>
      <name val="Calibri"/>
      <family val="2"/>
      <scheme val="minor"/>
    </font>
    <font>
      <sz val="28"/>
      <color theme="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8"/>
      <color theme="1"/>
      <name val="Calibri"/>
      <family val="2"/>
      <scheme val="minor"/>
    </font>
    <font>
      <sz val="8"/>
      <name val="Calibri"/>
      <family val="2"/>
      <scheme val="minor"/>
    </font>
    <font>
      <sz val="10"/>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s>
  <fills count="6">
    <fill>
      <patternFill patternType="none"/>
    </fill>
    <fill>
      <patternFill patternType="gray125"/>
    </fill>
    <fill>
      <patternFill patternType="solid">
        <fgColor theme="0" tint="-0.249977111117893"/>
        <bgColor indexed="64"/>
      </patternFill>
    </fill>
    <fill>
      <patternFill patternType="solid">
        <fgColor rgb="FF37812B"/>
        <bgColor indexed="64"/>
      </patternFill>
    </fill>
    <fill>
      <patternFill patternType="solid">
        <fgColor theme="2" tint="-0.249977111117893"/>
        <bgColor indexed="64"/>
      </patternFill>
    </fill>
    <fill>
      <patternFill patternType="solid">
        <fgColor theme="9"/>
        <bgColor theme="9"/>
      </patternFill>
    </fill>
  </fills>
  <borders count="39">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theme="0"/>
      </right>
      <top/>
      <bottom/>
      <diagonal/>
    </border>
    <border>
      <left/>
      <right/>
      <top style="thin">
        <color indexed="64"/>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96">
    <xf numFmtId="0" fontId="0" fillId="0" borderId="0" xfId="0"/>
    <xf numFmtId="164" fontId="0" fillId="0" borderId="0" xfId="0" applyNumberFormat="1"/>
    <xf numFmtId="44" fontId="0" fillId="0" borderId="0" xfId="1" applyFont="1"/>
    <xf numFmtId="0" fontId="0" fillId="3" borderId="0" xfId="0" applyFill="1" applyBorder="1"/>
    <xf numFmtId="0" fontId="3" fillId="3" borderId="0" xfId="0" applyFont="1" applyFill="1" applyBorder="1"/>
    <xf numFmtId="0" fontId="2" fillId="3" borderId="0" xfId="0" applyFont="1" applyFill="1" applyBorder="1" applyAlignment="1">
      <alignment horizontal="right"/>
    </xf>
    <xf numFmtId="164" fontId="2" fillId="3" borderId="0" xfId="0" applyNumberFormat="1" applyFont="1" applyFill="1" applyBorder="1" applyAlignment="1">
      <alignment horizontal="left"/>
    </xf>
    <xf numFmtId="0" fontId="0" fillId="3" borderId="7" xfId="0" applyFill="1" applyBorder="1"/>
    <xf numFmtId="0" fontId="2" fillId="3" borderId="5" xfId="0" applyFont="1" applyFill="1" applyBorder="1"/>
    <xf numFmtId="44" fontId="2" fillId="3" borderId="1" xfId="1" applyFont="1" applyFill="1" applyBorder="1" applyAlignment="1">
      <alignment horizontal="center"/>
    </xf>
    <xf numFmtId="0" fontId="2" fillId="3" borderId="1" xfId="0" applyFont="1" applyFill="1" applyBorder="1" applyAlignment="1">
      <alignment horizontal="center"/>
    </xf>
    <xf numFmtId="0" fontId="2" fillId="3" borderId="6" xfId="0" applyFont="1" applyFill="1" applyBorder="1" applyAlignment="1">
      <alignment horizontal="center"/>
    </xf>
    <xf numFmtId="165" fontId="2" fillId="3" borderId="1" xfId="0" applyNumberFormat="1" applyFont="1" applyFill="1" applyBorder="1" applyAlignment="1">
      <alignment horizontal="center"/>
    </xf>
    <xf numFmtId="165" fontId="0" fillId="0" borderId="0" xfId="0" applyNumberFormat="1" applyAlignment="1">
      <alignment horizontal="left"/>
    </xf>
    <xf numFmtId="0" fontId="0" fillId="0" borderId="8" xfId="0" applyBorder="1"/>
    <xf numFmtId="0" fontId="0" fillId="0" borderId="5" xfId="0" applyBorder="1"/>
    <xf numFmtId="0" fontId="0" fillId="0" borderId="10" xfId="0" applyBorder="1"/>
    <xf numFmtId="0" fontId="5" fillId="3" borderId="12" xfId="0" applyFont="1" applyFill="1" applyBorder="1" applyAlignment="1">
      <alignment horizontal="center"/>
    </xf>
    <xf numFmtId="0" fontId="5" fillId="3" borderId="13" xfId="0" applyFont="1" applyFill="1" applyBorder="1" applyAlignment="1">
      <alignment horizontal="center"/>
    </xf>
    <xf numFmtId="44" fontId="0" fillId="0" borderId="11" xfId="1" applyFont="1" applyBorder="1"/>
    <xf numFmtId="44" fontId="0" fillId="0" borderId="9" xfId="1" applyFont="1" applyBorder="1"/>
    <xf numFmtId="44" fontId="0" fillId="0" borderId="6" xfId="1" applyFont="1" applyBorder="1"/>
    <xf numFmtId="0" fontId="0" fillId="0" borderId="15" xfId="0" applyBorder="1"/>
    <xf numFmtId="44" fontId="0" fillId="0" borderId="16" xfId="1" applyFont="1" applyBorder="1"/>
    <xf numFmtId="0" fontId="6" fillId="0" borderId="17" xfId="0" applyFont="1" applyBorder="1"/>
    <xf numFmtId="44" fontId="0" fillId="0" borderId="18" xfId="1" applyFont="1" applyBorder="1"/>
    <xf numFmtId="0" fontId="0" fillId="0" borderId="0" xfId="0" pivotButton="1"/>
    <xf numFmtId="0" fontId="0" fillId="0" borderId="0" xfId="0" applyAlignment="1">
      <alignment horizontal="left"/>
    </xf>
    <xf numFmtId="0" fontId="2" fillId="3" borderId="19" xfId="0" applyFont="1" applyFill="1" applyBorder="1" applyAlignment="1">
      <alignment horizontal="center"/>
    </xf>
    <xf numFmtId="0" fontId="2" fillId="3" borderId="0" xfId="0" applyFont="1" applyFill="1" applyBorder="1" applyAlignment="1">
      <alignment horizontal="center"/>
    </xf>
    <xf numFmtId="44" fontId="7" fillId="0" borderId="21" xfId="1" applyFont="1" applyBorder="1"/>
    <xf numFmtId="0" fontId="0" fillId="0" borderId="2" xfId="0" applyBorder="1"/>
    <xf numFmtId="44" fontId="0" fillId="0" borderId="4" xfId="1" applyFont="1" applyBorder="1"/>
    <xf numFmtId="0" fontId="7" fillId="0" borderId="20" xfId="0" applyFont="1" applyBorder="1" applyAlignment="1"/>
    <xf numFmtId="7" fontId="0" fillId="0" borderId="0" xfId="1" applyNumberFormat="1" applyFont="1"/>
    <xf numFmtId="44" fontId="0" fillId="0" borderId="14" xfId="1" applyFont="1" applyBorder="1"/>
    <xf numFmtId="0" fontId="6" fillId="0" borderId="0" xfId="0" applyFont="1"/>
    <xf numFmtId="44" fontId="6" fillId="0" borderId="18" xfId="0" applyNumberFormat="1" applyFont="1" applyBorder="1"/>
    <xf numFmtId="9" fontId="0" fillId="0" borderId="9" xfId="2" applyFont="1" applyBorder="1"/>
    <xf numFmtId="44" fontId="0" fillId="0" borderId="1" xfId="1" applyFont="1" applyBorder="1"/>
    <xf numFmtId="9" fontId="0" fillId="0" borderId="6" xfId="2" applyFont="1" applyBorder="1"/>
    <xf numFmtId="44" fontId="0" fillId="0" borderId="23" xfId="1" applyFont="1" applyBorder="1"/>
    <xf numFmtId="44" fontId="0" fillId="4" borderId="14" xfId="0" applyNumberFormat="1" applyFill="1" applyBorder="1"/>
    <xf numFmtId="44" fontId="0" fillId="4" borderId="1" xfId="0" applyNumberFormat="1" applyFill="1" applyBorder="1"/>
    <xf numFmtId="0" fontId="5" fillId="3" borderId="0" xfId="0" applyFont="1" applyFill="1" applyBorder="1" applyAlignment="1">
      <alignment horizontal="right"/>
    </xf>
    <xf numFmtId="0" fontId="0" fillId="0" borderId="25" xfId="0" applyBorder="1"/>
    <xf numFmtId="0" fontId="0" fillId="0" borderId="26" xfId="0" applyBorder="1"/>
    <xf numFmtId="0" fontId="0" fillId="3" borderId="27" xfId="0" applyFill="1" applyBorder="1"/>
    <xf numFmtId="0" fontId="5" fillId="3" borderId="25" xfId="0" applyFont="1" applyFill="1" applyBorder="1" applyAlignment="1">
      <alignment horizontal="right"/>
    </xf>
    <xf numFmtId="0" fontId="5" fillId="3" borderId="28" xfId="0" applyFont="1" applyFill="1" applyBorder="1" applyAlignment="1">
      <alignment horizontal="center" vertical="center"/>
    </xf>
    <xf numFmtId="0" fontId="5" fillId="3" borderId="29" xfId="0" applyFont="1" applyFill="1" applyBorder="1" applyAlignment="1">
      <alignment horizontal="center" vertical="center"/>
    </xf>
    <xf numFmtId="166" fontId="2" fillId="3" borderId="1" xfId="0" applyNumberFormat="1" applyFont="1" applyFill="1" applyBorder="1"/>
    <xf numFmtId="166" fontId="0" fillId="0" borderId="0" xfId="0" applyNumberFormat="1" applyBorder="1"/>
    <xf numFmtId="0" fontId="6" fillId="0" borderId="0" xfId="0" applyFont="1" applyAlignment="1">
      <alignment wrapText="1"/>
    </xf>
    <xf numFmtId="15" fontId="0" fillId="0" borderId="0" xfId="0" applyNumberFormat="1"/>
    <xf numFmtId="7" fontId="0" fillId="0" borderId="0" xfId="0" applyNumberFormat="1"/>
    <xf numFmtId="44" fontId="6" fillId="0" borderId="0" xfId="1" applyFont="1"/>
    <xf numFmtId="0" fontId="5" fillId="3" borderId="20" xfId="0" applyFont="1" applyFill="1" applyBorder="1" applyAlignment="1">
      <alignment horizontal="center"/>
    </xf>
    <xf numFmtId="0" fontId="5" fillId="3" borderId="22" xfId="0" applyFont="1" applyFill="1" applyBorder="1" applyAlignment="1">
      <alignment horizontal="center"/>
    </xf>
    <xf numFmtId="0" fontId="5" fillId="3" borderId="21" xfId="0" applyFont="1" applyFill="1" applyBorder="1" applyAlignment="1">
      <alignment horizontal="center"/>
    </xf>
    <xf numFmtId="0" fontId="5" fillId="5" borderId="30" xfId="0" applyFont="1" applyFill="1" applyBorder="1"/>
    <xf numFmtId="44" fontId="5" fillId="5" borderId="31" xfId="1" applyNumberFormat="1" applyFont="1" applyFill="1" applyBorder="1"/>
    <xf numFmtId="0" fontId="5" fillId="5" borderId="31" xfId="0" applyFont="1" applyFill="1" applyBorder="1" applyAlignment="1">
      <alignment wrapText="1"/>
    </xf>
    <xf numFmtId="0" fontId="5" fillId="5" borderId="31" xfId="0" applyFont="1" applyFill="1" applyBorder="1"/>
    <xf numFmtId="0" fontId="5" fillId="5" borderId="32" xfId="0" applyFont="1" applyFill="1" applyBorder="1"/>
    <xf numFmtId="0" fontId="10" fillId="0" borderId="0" xfId="0" applyFont="1" applyAlignment="1">
      <alignment horizontal="right"/>
    </xf>
    <xf numFmtId="0" fontId="11" fillId="0" borderId="14" xfId="0" applyFont="1" applyBorder="1" applyAlignment="1">
      <alignment horizontal="center"/>
    </xf>
    <xf numFmtId="0" fontId="0" fillId="0" borderId="33" xfId="0" applyBorder="1"/>
    <xf numFmtId="0" fontId="0" fillId="0" borderId="34" xfId="0" applyBorder="1"/>
    <xf numFmtId="0" fontId="0" fillId="0" borderId="35" xfId="0" applyBorder="1"/>
    <xf numFmtId="0" fontId="5" fillId="3" borderId="7" xfId="0" applyFont="1" applyFill="1" applyBorder="1" applyAlignment="1">
      <alignment horizontal="right"/>
    </xf>
    <xf numFmtId="0" fontId="0" fillId="0" borderId="0" xfId="0" quotePrefix="1"/>
    <xf numFmtId="44" fontId="0" fillId="0" borderId="3" xfId="1" applyFont="1" applyBorder="1"/>
    <xf numFmtId="44" fontId="0" fillId="4" borderId="3" xfId="0" applyNumberFormat="1" applyFill="1" applyBorder="1"/>
    <xf numFmtId="9" fontId="0" fillId="0" borderId="4" xfId="2" applyFont="1" applyBorder="1"/>
    <xf numFmtId="44" fontId="0" fillId="0" borderId="24" xfId="1" applyFont="1" applyBorder="1"/>
    <xf numFmtId="0" fontId="5" fillId="3" borderId="36" xfId="0" applyFont="1" applyFill="1" applyBorder="1" applyAlignment="1">
      <alignment horizontal="center"/>
    </xf>
    <xf numFmtId="0" fontId="5" fillId="3" borderId="37" xfId="0" applyFont="1" applyFill="1" applyBorder="1" applyAlignment="1">
      <alignment horizontal="center"/>
    </xf>
    <xf numFmtId="0" fontId="5" fillId="3" borderId="38" xfId="0" applyFont="1" applyFill="1" applyBorder="1" applyAlignment="1">
      <alignment horizontal="center"/>
    </xf>
    <xf numFmtId="9" fontId="0" fillId="0" borderId="0" xfId="2" applyFont="1" applyFill="1" applyBorder="1"/>
    <xf numFmtId="0" fontId="6" fillId="0" borderId="17" xfId="0" applyFont="1" applyFill="1" applyBorder="1"/>
    <xf numFmtId="44" fontId="0" fillId="0" borderId="18" xfId="1" applyFont="1" applyFill="1" applyBorder="1"/>
    <xf numFmtId="0" fontId="0" fillId="0" borderId="0" xfId="0" applyAlignment="1">
      <alignment wrapText="1"/>
    </xf>
    <xf numFmtId="0" fontId="0" fillId="0" borderId="0" xfId="0" applyAlignment="1">
      <alignment horizontal="left" wrapText="1"/>
    </xf>
    <xf numFmtId="0" fontId="0" fillId="0" borderId="0" xfId="0" applyAlignment="1">
      <alignment wrapText="1"/>
    </xf>
    <xf numFmtId="0" fontId="12" fillId="0" borderId="0" xfId="0" applyFont="1" applyAlignment="1">
      <alignment horizontal="center"/>
    </xf>
    <xf numFmtId="0" fontId="3" fillId="3" borderId="0" xfId="0" applyFont="1" applyFill="1" applyBorder="1" applyAlignment="1">
      <alignment horizontal="left"/>
    </xf>
    <xf numFmtId="0" fontId="0" fillId="0" borderId="2" xfId="0" applyBorder="1" applyAlignment="1">
      <alignment horizontal="center"/>
    </xf>
    <xf numFmtId="0" fontId="0" fillId="0" borderId="4" xfId="0" applyBorder="1" applyAlignment="1">
      <alignment horizontal="center"/>
    </xf>
    <xf numFmtId="22" fontId="0" fillId="2" borderId="8" xfId="0" applyNumberFormat="1" applyFill="1" applyBorder="1" applyAlignment="1">
      <alignment horizontal="center"/>
    </xf>
    <xf numFmtId="22" fontId="0" fillId="2" borderId="9"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cellXfs>
  <cellStyles count="3">
    <cellStyle name="Currency" xfId="1" builtinId="4"/>
    <cellStyle name="Normal" xfId="0" builtinId="0"/>
    <cellStyle name="Percent" xfId="2" builtinId="5"/>
  </cellStyles>
  <dxfs count="7">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color rgb="FFFF0000"/>
      </font>
    </dxf>
    <dxf>
      <font>
        <color rgb="FF006600"/>
      </font>
    </dxf>
  </dxfs>
  <tableStyles count="0" defaultTableStyle="TableStyleMedium2" defaultPivotStyle="PivotStyleLight16"/>
  <colors>
    <mruColors>
      <color rgb="FF006600"/>
      <color rgb="FF3781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A074-441A-9059-19D0FD37E2B8}"/>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'Category Dashboard'!$B$9:$B$21</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Average:</c:v>
                </c:pt>
              </c:strCache>
            </c:strRef>
          </c:cat>
          <c:val>
            <c:numRef>
              <c:f>'Category Dashboard'!$C$9:$C$21</c:f>
              <c:numCache>
                <c:formatCode>_("$"* #,##0.00_);_("$"* \(#,##0.00\);_("$"*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42D3-4FD4-967F-E1524D508B14}"/>
            </c:ext>
          </c:extLst>
        </c:ser>
        <c:dLbls>
          <c:showLegendKey val="0"/>
          <c:showVal val="0"/>
          <c:showCatName val="0"/>
          <c:showSerName val="0"/>
          <c:showPercent val="0"/>
          <c:showBubbleSize val="0"/>
        </c:dLbls>
        <c:marker val="1"/>
        <c:smooth val="0"/>
        <c:axId val="1442685231"/>
        <c:axId val="1442668815"/>
      </c:line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'Annual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'Annual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7C2-46AD-85E3-9FEDAA54BB41}"/>
            </c:ext>
          </c:extLst>
        </c:ser>
        <c:dLbls>
          <c:showLegendKey val="0"/>
          <c:showVal val="0"/>
          <c:showCatName val="0"/>
          <c:showSerName val="0"/>
          <c:showPercent val="0"/>
          <c:showBubbleSize val="0"/>
        </c:dLbls>
        <c:marker val="1"/>
        <c:smooth val="0"/>
        <c:axId val="1499442463"/>
        <c:axId val="1499447039"/>
      </c:lineChart>
      <c:catAx>
        <c:axId val="149944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7039"/>
        <c:crosses val="autoZero"/>
        <c:auto val="1"/>
        <c:lblAlgn val="ctr"/>
        <c:lblOffset val="100"/>
        <c:noMultiLvlLbl val="0"/>
      </c:catAx>
      <c:valAx>
        <c:axId val="1499447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'Annual Dashboard'!$B$23:$B$41</c:f>
            </c:multiLvlStrRef>
          </c:cat>
          <c:val>
            <c:numRef>
              <c:f>'Annual Dashboard'!$C$23:$C$41</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BAA-4A32-A686-EEC82647FFFE}"/>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0C7C-47A7-8ED7-947FC650EB0C}"/>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103-4A8D-A6E8-9B20A7F01C7D}"/>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1666875</xdr:colOff>
          <xdr:row>9</xdr:row>
          <xdr:rowOff>57150</xdr:rowOff>
        </xdr:from>
        <xdr:to>
          <xdr:col>3</xdr:col>
          <xdr:colOff>447675</xdr:colOff>
          <xdr:row>11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12</xdr:row>
          <xdr:rowOff>95250</xdr:rowOff>
        </xdr:from>
        <xdr:to>
          <xdr:col>3</xdr:col>
          <xdr:colOff>466725</xdr:colOff>
          <xdr:row>14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Categorize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17</xdr:row>
          <xdr:rowOff>66675</xdr:rowOff>
        </xdr:from>
        <xdr:to>
          <xdr:col>3</xdr:col>
          <xdr:colOff>485775</xdr:colOff>
          <xdr:row>19</xdr:row>
          <xdr:rowOff>142875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9</xdr:row>
          <xdr:rowOff>57150</xdr:rowOff>
        </xdr:from>
        <xdr:to>
          <xdr:col>2</xdr:col>
          <xdr:colOff>1066800</xdr:colOff>
          <xdr:row>11</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Data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57150</xdr:rowOff>
        </xdr:from>
        <xdr:to>
          <xdr:col>6</xdr:col>
          <xdr:colOff>438150</xdr:colOff>
          <xdr:row>8</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Get Categories from Expense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3" name="Category_Spending">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6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380999</xdr:colOff>
      <xdr:row>21</xdr:row>
      <xdr:rowOff>176211</xdr:rowOff>
    </xdr:from>
    <xdr:to>
      <xdr:col>5</xdr:col>
      <xdr:colOff>933449</xdr:colOff>
      <xdr:row>39</xdr:row>
      <xdr:rowOff>95249</xdr:rowOff>
    </xdr:to>
    <xdr:graphicFrame macro="">
      <xdr:nvGraphicFramePr>
        <xdr:cNvPr id="2" name="Category_Spending">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247650</xdr:colOff>
      <xdr:row>6</xdr:row>
      <xdr:rowOff>185736</xdr:rowOff>
    </xdr:from>
    <xdr:to>
      <xdr:col>5</xdr:col>
      <xdr:colOff>466725</xdr:colOff>
      <xdr:row>23</xdr:row>
      <xdr:rowOff>85724</xdr:rowOff>
    </xdr:to>
    <xdr:graphicFrame macro="">
      <xdr:nvGraphicFramePr>
        <xdr:cNvPr id="3" name="Month_Spending">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238124</xdr:colOff>
      <xdr:row>24</xdr:row>
      <xdr:rowOff>23811</xdr:rowOff>
    </xdr:from>
    <xdr:to>
      <xdr:col>5</xdr:col>
      <xdr:colOff>476250</xdr:colOff>
      <xdr:row>40</xdr:row>
      <xdr:rowOff>104774</xdr:rowOff>
    </xdr:to>
    <xdr:graphicFrame macro="">
      <xdr:nvGraphicFramePr>
        <xdr:cNvPr id="5" name="Category_Spending">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66675</xdr:colOff>
          <xdr:row>5</xdr:row>
          <xdr:rowOff>9525</xdr:rowOff>
        </xdr:from>
        <xdr:to>
          <xdr:col>8</xdr:col>
          <xdr:colOff>628650</xdr:colOff>
          <xdr:row>6</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2" name="Category_Spending">
          <a:extLst>
            <a:ext uri="{FF2B5EF4-FFF2-40B4-BE49-F238E27FC236}">
              <a16:creationId xmlns:a16="http://schemas.microsoft.com/office/drawing/2014/main" id="{6FF5E450-C12D-4401-BDF0-D033860A9E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29</xdr:row>
      <xdr:rowOff>171450</xdr:rowOff>
    </xdr:from>
    <xdr:to>
      <xdr:col>13</xdr:col>
      <xdr:colOff>933450</xdr:colOff>
      <xdr:row>47</xdr:row>
      <xdr:rowOff>90488</xdr:rowOff>
    </xdr:to>
    <xdr:graphicFrame macro="">
      <xdr:nvGraphicFramePr>
        <xdr:cNvPr id="5" name="Category_Spending_2">
          <a:extLst>
            <a:ext uri="{FF2B5EF4-FFF2-40B4-BE49-F238E27FC236}">
              <a16:creationId xmlns:a16="http://schemas.microsoft.com/office/drawing/2014/main" id="{B4F5378A-025D-4301-8B40-7896A7EA92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E06F4-6DB7-4CEC-B763-7B1527052701}" name="TransTable_Annual" displayName="TransTable_Annual" ref="H8:M9" insertRow="1" totalsRowShown="0" headerRowDxfId="1">
  <autoFilter ref="H8:M9" xr:uid="{ABFDA116-EB47-4A71-804B-5A5DCA676F78}"/>
  <sortState xmlns:xlrd2="http://schemas.microsoft.com/office/spreadsheetml/2017/richdata2" ref="H8:M8">
    <sortCondition ref="K8"/>
  </sortState>
  <tableColumns count="6">
    <tableColumn id="1" xr3:uid="{95CA414B-11B5-453E-AC72-60B9F4C69723}" name="Date"/>
    <tableColumn id="2" xr3:uid="{A769AF64-B15B-4760-8A64-5BB4CA7ABDF5}" name="Amount" dataCellStyle="Currency"/>
    <tableColumn id="3" xr3:uid="{4E431390-5715-4384-98A1-C90A7342EDA1}" name="Company's Description"/>
    <tableColumn id="4" xr3:uid="{8A431961-F900-499F-B890-062D1564F6DE}" name="Category"/>
    <tableColumn id="5" xr3:uid="{31D286DB-1309-4633-9FD8-B3FE3AD07CE1}" name="Description"/>
    <tableColumn id="6" xr3:uid="{02684E0B-0234-45AC-B2F1-B9E52181550A}" name="Accou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D0CAF5-122F-4200-8DDE-D34A7DE3AB91}" name="TransTable_Annual2" displayName="TransTable_Annual2" ref="H8:M9" insertRow="1" totalsRowShown="0" headerRowDxfId="0">
  <autoFilter ref="H8:M9" xr:uid="{ABFDA116-EB47-4A71-804B-5A5DCA676F78}"/>
  <sortState xmlns:xlrd2="http://schemas.microsoft.com/office/spreadsheetml/2017/richdata2" ref="H8:M8">
    <sortCondition ref="K8"/>
  </sortState>
  <tableColumns count="6">
    <tableColumn id="1" xr3:uid="{6BDEEC18-28EA-4A8E-80A6-09B6E273E9B4}" name="Date"/>
    <tableColumn id="2" xr3:uid="{E79B7E64-FDC9-488D-9AF4-1C6205616A56}" name="Amount" dataCellStyle="Currency"/>
    <tableColumn id="3" xr3:uid="{FCEB7D7F-9273-448A-900B-7E5BF7260F17}" name="Company's Description"/>
    <tableColumn id="4" xr3:uid="{89059C49-9FDB-43BD-9E5C-E3ECBD4F417D}" name="Category"/>
    <tableColumn id="5" xr3:uid="{39E588A7-4DE5-48F0-988E-19F51CAB3291}" name="Description"/>
    <tableColumn id="6" xr3:uid="{CECF756B-9232-467E-BED0-21810586E2E8}" name="Accou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77BC39-2645-4AD7-91EC-B6AAEA47F547}" name="TransTable_Monthly" displayName="TransTable_Monthly" ref="H8:M9" insertRow="1" totalsRowShown="0" headerRowDxfId="4" headerRowBorderDxfId="3" tableBorderDxfId="2">
  <autoFilter ref="H8:M9" xr:uid="{37F9556F-11BE-4EA2-BC70-673D66A87726}"/>
  <sortState xmlns:xlrd2="http://schemas.microsoft.com/office/spreadsheetml/2017/richdata2" ref="H8:M8">
    <sortCondition ref="H8"/>
  </sortState>
  <tableColumns count="6">
    <tableColumn id="1" xr3:uid="{5478DBA4-A1C9-4A35-AFDA-A86F8ADA0733}" name="Date"/>
    <tableColumn id="2" xr3:uid="{E909A849-E67F-40F3-96E5-875912205F21}" name="Amount"/>
    <tableColumn id="3" xr3:uid="{2AA3A530-761C-45E0-A388-95872E8288BF}" name="Company's Description"/>
    <tableColumn id="4" xr3:uid="{FCE96447-806F-40A7-BED2-E38A10E61065}" name="Category"/>
    <tableColumn id="5" xr3:uid="{6D66B66E-F227-4F84-8074-10EC1558070D}" name="Description"/>
    <tableColumn id="6" xr3:uid="{63887C13-31D0-4E54-B6CD-4B62F3771F43}" name="Accou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A595-9BFD-4573-AEF0-0CAE14210181}">
  <sheetPr codeName="Sheet5"/>
  <dimension ref="B1:G21"/>
  <sheetViews>
    <sheetView workbookViewId="0">
      <selection activeCell="E10" sqref="E10"/>
    </sheetView>
  </sheetViews>
  <sheetFormatPr defaultRowHeight="15" x14ac:dyDescent="0.25"/>
  <cols>
    <col min="2" max="2" width="17.140625" customWidth="1"/>
    <col min="3" max="3" width="46.5703125" customWidth="1"/>
    <col min="5" max="5" width="17.140625" customWidth="1"/>
    <col min="6" max="6" width="46.5703125" customWidth="1"/>
    <col min="7" max="7" width="17.7109375" bestFit="1" customWidth="1"/>
  </cols>
  <sheetData>
    <row r="1" spans="2:7" s="3" customFormat="1" x14ac:dyDescent="0.25">
      <c r="G1" s="3" t="s">
        <v>82</v>
      </c>
    </row>
    <row r="2" spans="2:7" s="3" customFormat="1" ht="35.25" customHeight="1" x14ac:dyDescent="0.55000000000000004">
      <c r="B2" s="86" t="s">
        <v>14</v>
      </c>
      <c r="C2" s="86"/>
    </row>
    <row r="3" spans="2:7" s="3" customFormat="1" x14ac:dyDescent="0.25">
      <c r="B3" s="5" t="s">
        <v>13</v>
      </c>
      <c r="C3" s="6">
        <v>1</v>
      </c>
    </row>
    <row r="4" spans="2:7" s="7" customFormat="1" x14ac:dyDescent="0.25"/>
    <row r="5" spans="2:7" ht="13.5" customHeight="1" x14ac:dyDescent="0.25">
      <c r="C5" s="1"/>
    </row>
    <row r="6" spans="2:7" ht="21" x14ac:dyDescent="0.35">
      <c r="B6" s="85" t="s">
        <v>534</v>
      </c>
      <c r="C6" s="85"/>
      <c r="E6" s="85" t="s">
        <v>535</v>
      </c>
      <c r="F6" s="85"/>
    </row>
    <row r="8" spans="2:7" ht="31.5" customHeight="1" x14ac:dyDescent="0.25">
      <c r="B8" s="83" t="s">
        <v>525</v>
      </c>
      <c r="C8" s="83"/>
      <c r="E8" s="83" t="s">
        <v>536</v>
      </c>
      <c r="F8" s="83"/>
    </row>
    <row r="10" spans="2:7" ht="44.25" customHeight="1" x14ac:dyDescent="0.25">
      <c r="B10" s="83" t="s">
        <v>529</v>
      </c>
      <c r="C10" s="83"/>
    </row>
    <row r="11" spans="2:7" ht="30" x14ac:dyDescent="0.25">
      <c r="C11" s="82" t="s">
        <v>526</v>
      </c>
    </row>
    <row r="12" spans="2:7" ht="30" x14ac:dyDescent="0.25">
      <c r="C12" s="82" t="s">
        <v>527</v>
      </c>
    </row>
    <row r="13" spans="2:7" ht="30" x14ac:dyDescent="0.25">
      <c r="C13" s="82" t="s">
        <v>528</v>
      </c>
    </row>
    <row r="15" spans="2:7" ht="30" customHeight="1" x14ac:dyDescent="0.25">
      <c r="B15" s="83" t="s">
        <v>530</v>
      </c>
      <c r="C15" s="83"/>
    </row>
    <row r="17" spans="2:3" ht="30" customHeight="1" x14ac:dyDescent="0.25">
      <c r="B17" s="83" t="s">
        <v>531</v>
      </c>
      <c r="C17" s="83"/>
    </row>
    <row r="19" spans="2:3" ht="92.25" customHeight="1" x14ac:dyDescent="0.25">
      <c r="B19" s="84" t="s">
        <v>532</v>
      </c>
      <c r="C19" s="84"/>
    </row>
    <row r="21" spans="2:3" ht="90" customHeight="1" x14ac:dyDescent="0.25">
      <c r="B21" s="83" t="s">
        <v>533</v>
      </c>
      <c r="C21" s="83"/>
    </row>
  </sheetData>
  <protectedRanges>
    <protectedRange sqref="C6:D6" name="Range1"/>
    <protectedRange sqref="F11:G30" name="Range2"/>
  </protectedRanges>
  <mergeCells count="10">
    <mergeCell ref="E6:F6"/>
    <mergeCell ref="E8:F8"/>
    <mergeCell ref="B2:C2"/>
    <mergeCell ref="B6:C6"/>
    <mergeCell ref="B8:C8"/>
    <mergeCell ref="B10:C10"/>
    <mergeCell ref="B15:C15"/>
    <mergeCell ref="B17:C17"/>
    <mergeCell ref="B19:C19"/>
    <mergeCell ref="B21:C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F3B-4DDE-4235-814F-7D0C452D1DB9}">
  <sheetPr codeName="Sheet4"/>
  <dimension ref="B1:J31"/>
  <sheetViews>
    <sheetView showGridLines="0" zoomScaleNormal="100" workbookViewId="0">
      <selection activeCell="C24" sqref="C24"/>
    </sheetView>
  </sheetViews>
  <sheetFormatPr defaultRowHeight="15" x14ac:dyDescent="0.25"/>
  <cols>
    <col min="2" max="2" width="17.140625" customWidth="1"/>
    <col min="3" max="3" width="46.5703125" customWidth="1"/>
    <col min="6" max="6" width="17" customWidth="1"/>
    <col min="7" max="7" width="17.7109375" bestFit="1" customWidth="1"/>
  </cols>
  <sheetData>
    <row r="1" spans="2:10" s="3" customFormat="1" x14ac:dyDescent="0.25">
      <c r="J1" s="3" t="s">
        <v>82</v>
      </c>
    </row>
    <row r="2" spans="2:10" s="3" customFormat="1" ht="35.25" customHeight="1" x14ac:dyDescent="0.55000000000000004">
      <c r="B2" s="86" t="s">
        <v>14</v>
      </c>
      <c r="C2" s="86"/>
    </row>
    <row r="3" spans="2:10" s="3" customFormat="1" x14ac:dyDescent="0.25">
      <c r="B3" s="5" t="s">
        <v>13</v>
      </c>
      <c r="C3" s="6">
        <v>1</v>
      </c>
    </row>
    <row r="4" spans="2:10" s="7" customFormat="1" x14ac:dyDescent="0.25"/>
    <row r="5" spans="2:10" ht="13.5" customHeight="1" thickBot="1" x14ac:dyDescent="0.3">
      <c r="C5" s="1"/>
    </row>
    <row r="6" spans="2:10" x14ac:dyDescent="0.25">
      <c r="B6" s="67" t="s">
        <v>8</v>
      </c>
      <c r="C6" s="87"/>
      <c r="D6" s="88"/>
      <c r="F6" t="s">
        <v>34</v>
      </c>
    </row>
    <row r="7" spans="2:10" x14ac:dyDescent="0.25">
      <c r="B7" s="68" t="s">
        <v>10</v>
      </c>
      <c r="C7" s="89"/>
      <c r="D7" s="90"/>
    </row>
    <row r="8" spans="2:10" ht="15.75" thickBot="1" x14ac:dyDescent="0.3">
      <c r="B8" s="69" t="s">
        <v>9</v>
      </c>
      <c r="C8" s="91"/>
      <c r="D8" s="92"/>
    </row>
    <row r="9" spans="2:10" ht="15.75" thickBot="1" x14ac:dyDescent="0.3"/>
    <row r="10" spans="2:10" ht="15.75" thickBot="1" x14ac:dyDescent="0.3">
      <c r="F10" s="17" t="s">
        <v>6</v>
      </c>
      <c r="G10" s="18" t="s">
        <v>524</v>
      </c>
    </row>
    <row r="11" spans="2:10" x14ac:dyDescent="0.25">
      <c r="F11" s="16"/>
      <c r="G11" s="19"/>
    </row>
    <row r="12" spans="2:10" x14ac:dyDescent="0.25">
      <c r="F12" s="14"/>
      <c r="G12" s="19"/>
    </row>
    <row r="13" spans="2:10" x14ac:dyDescent="0.25">
      <c r="F13" s="14"/>
      <c r="G13" s="19"/>
    </row>
    <row r="14" spans="2:10" x14ac:dyDescent="0.25">
      <c r="F14" s="14"/>
      <c r="G14" s="19"/>
    </row>
    <row r="15" spans="2:10" x14ac:dyDescent="0.25">
      <c r="F15" s="14"/>
      <c r="G15" s="19"/>
    </row>
    <row r="16" spans="2:10" x14ac:dyDescent="0.25">
      <c r="C16" s="65" t="s">
        <v>84</v>
      </c>
      <c r="D16" s="66">
        <f>COUNTBLANK(INDEX(ExpenseList,,6))</f>
        <v>0</v>
      </c>
      <c r="F16" s="14"/>
      <c r="G16" s="19"/>
    </row>
    <row r="17" spans="6:7" x14ac:dyDescent="0.25">
      <c r="F17" s="14"/>
      <c r="G17" s="19"/>
    </row>
    <row r="18" spans="6:7" x14ac:dyDescent="0.25">
      <c r="F18" s="14"/>
      <c r="G18" s="19"/>
    </row>
    <row r="19" spans="6:7" x14ac:dyDescent="0.25">
      <c r="F19" s="14"/>
      <c r="G19" s="19"/>
    </row>
    <row r="20" spans="6:7" x14ac:dyDescent="0.25">
      <c r="F20" s="14"/>
      <c r="G20" s="19"/>
    </row>
    <row r="21" spans="6:7" x14ac:dyDescent="0.25">
      <c r="F21" s="14"/>
      <c r="G21" s="19"/>
    </row>
    <row r="22" spans="6:7" x14ac:dyDescent="0.25">
      <c r="F22" s="14"/>
      <c r="G22" s="19"/>
    </row>
    <row r="23" spans="6:7" x14ac:dyDescent="0.25">
      <c r="F23" s="14"/>
      <c r="G23" s="19"/>
    </row>
    <row r="24" spans="6:7" x14ac:dyDescent="0.25">
      <c r="F24" s="14"/>
      <c r="G24" s="19"/>
    </row>
    <row r="25" spans="6:7" x14ac:dyDescent="0.25">
      <c r="F25" s="14"/>
      <c r="G25" s="20"/>
    </row>
    <row r="26" spans="6:7" x14ac:dyDescent="0.25">
      <c r="F26" s="14"/>
      <c r="G26" s="20"/>
    </row>
    <row r="27" spans="6:7" x14ac:dyDescent="0.25">
      <c r="F27" s="14"/>
      <c r="G27" s="20"/>
    </row>
    <row r="28" spans="6:7" x14ac:dyDescent="0.25">
      <c r="F28" s="14"/>
      <c r="G28" s="20"/>
    </row>
    <row r="29" spans="6:7" x14ac:dyDescent="0.25">
      <c r="F29" s="14"/>
      <c r="G29" s="20"/>
    </row>
    <row r="30" spans="6:7" ht="15.75" thickBot="1" x14ac:dyDescent="0.3">
      <c r="F30" s="22"/>
      <c r="G30" s="23"/>
    </row>
    <row r="31" spans="6:7" ht="16.5" thickTop="1" thickBot="1" x14ac:dyDescent="0.3">
      <c r="F31" s="24" t="s">
        <v>57</v>
      </c>
      <c r="G31" s="25">
        <f>SUM(G11:G30)</f>
        <v>0</v>
      </c>
    </row>
  </sheetData>
  <protectedRanges>
    <protectedRange sqref="C6:D6" name="Range1"/>
    <protectedRange sqref="F11:G30" name="Range2"/>
  </protectedRanges>
  <mergeCells count="4">
    <mergeCell ref="B2:C2"/>
    <mergeCell ref="C6:D6"/>
    <mergeCell ref="C7:D7"/>
    <mergeCell ref="C8:D8"/>
  </mergeCells>
  <conditionalFormatting sqref="D16">
    <cfRule type="cellIs" dxfId="6" priority="1" operator="equal">
      <formula>0</formula>
    </cfRule>
    <cfRule type="cellIs" dxfId="5"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Data">
                <anchor moveWithCells="1" sizeWithCells="1">
                  <from>
                    <xdr:col>2</xdr:col>
                    <xdr:colOff>1666875</xdr:colOff>
                    <xdr:row>9</xdr:row>
                    <xdr:rowOff>57150</xdr:rowOff>
                  </from>
                  <to>
                    <xdr:col>3</xdr:col>
                    <xdr:colOff>447675</xdr:colOff>
                    <xdr:row>11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hisWorkbook.CategorizeTrans">
                <anchor moveWithCells="1" sizeWithCells="1">
                  <from>
                    <xdr:col>2</xdr:col>
                    <xdr:colOff>1704975</xdr:colOff>
                    <xdr:row>12</xdr:row>
                    <xdr:rowOff>95250</xdr:rowOff>
                  </from>
                  <to>
                    <xdr:col>3</xdr:col>
                    <xdr:colOff>466725</xdr:colOff>
                    <xdr:row>14</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RemoveImports">
                <anchor moveWithCells="1" sizeWithCells="1">
                  <from>
                    <xdr:col>2</xdr:col>
                    <xdr:colOff>1704975</xdr:colOff>
                    <xdr:row>17</xdr:row>
                    <xdr:rowOff>66675</xdr:rowOff>
                  </from>
                  <to>
                    <xdr:col>3</xdr:col>
                    <xdr:colOff>485775</xdr:colOff>
                    <xdr:row>19</xdr:row>
                    <xdr:rowOff>142875</xdr:rowOff>
                  </to>
                </anchor>
              </controlPr>
            </control>
          </mc:Choice>
        </mc:AlternateContent>
        <mc:AlternateContent xmlns:mc="http://schemas.openxmlformats.org/markup-compatibility/2006">
          <mc:Choice Requires="x14">
            <control shapeId="1030" r:id="rId7" name="Button 6">
              <controlPr defaultSize="0" print="0" autoFill="0" autoPict="0" macro="[0]!SetupImports">
                <anchor moveWithCells="1" sizeWithCells="1">
                  <from>
                    <xdr:col>1</xdr:col>
                    <xdr:colOff>276225</xdr:colOff>
                    <xdr:row>9</xdr:row>
                    <xdr:rowOff>57150</xdr:rowOff>
                  </from>
                  <to>
                    <xdr:col>2</xdr:col>
                    <xdr:colOff>1066800</xdr:colOff>
                    <xdr:row>11</xdr:row>
                    <xdr:rowOff>114300</xdr:rowOff>
                  </to>
                </anchor>
              </controlPr>
            </control>
          </mc:Choice>
        </mc:AlternateContent>
        <mc:AlternateContent xmlns:mc="http://schemas.openxmlformats.org/markup-compatibility/2006">
          <mc:Choice Requires="x14">
            <control shapeId="1034" r:id="rId8" name="Button 10">
              <controlPr defaultSize="0" print="0" autoFill="0" autoPict="0" macro="[0]!GetCategs">
                <anchor moveWithCells="1">
                  <from>
                    <xdr:col>5</xdr:col>
                    <xdr:colOff>409575</xdr:colOff>
                    <xdr:row>6</xdr:row>
                    <xdr:rowOff>57150</xdr:rowOff>
                  </from>
                  <to>
                    <xdr:col>6</xdr:col>
                    <xdr:colOff>438150</xdr:colOff>
                    <xdr:row>8</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CBEEF-91C9-4604-A215-45FBD3F9A711}">
  <sheetPr codeName="Sheet8"/>
  <dimension ref="A1:N3"/>
  <sheetViews>
    <sheetView showGridLines="0" workbookViewId="0">
      <pane ySplit="2" topLeftCell="A21" activePane="bottomLeft" state="frozen"/>
      <selection pane="bottomLeft" activeCell="C34" sqref="C34"/>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3" t="str">
        <f>_xlfn.CONCAT('Main Tab'!C6, "'s Expenses")</f>
        <v>'s Expenses</v>
      </c>
      <c r="B1" s="94"/>
      <c r="C1" s="94"/>
      <c r="D1" s="94"/>
      <c r="E1" s="94"/>
      <c r="F1" s="94"/>
      <c r="G1" s="94"/>
      <c r="H1" s="94"/>
      <c r="I1" s="94"/>
      <c r="J1" s="94"/>
      <c r="K1" s="94"/>
      <c r="L1" s="95"/>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tr">
        <f t="shared" ref="M2:M3" si="0">TEXT(B3,"mmmm")</f>
        <v>January</v>
      </c>
      <c r="N2" s="29">
        <f t="shared" ref="N2:N3" si="1">YEAR(B3)</f>
        <v>1900</v>
      </c>
    </row>
    <row r="3" spans="1:14" x14ac:dyDescent="0.25">
      <c r="M3" t="str">
        <f t="shared" si="0"/>
        <v>January</v>
      </c>
      <c r="N3">
        <f t="shared" si="1"/>
        <v>1900</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0AC3-639F-466C-A6A4-BA1CFD8E2418}">
  <sheetPr codeName="Sheet2"/>
  <dimension ref="B2:HL23"/>
  <sheetViews>
    <sheetView workbookViewId="0">
      <selection activeCell="D8" sqref="D8"/>
    </sheetView>
  </sheetViews>
  <sheetFormatPr defaultRowHeight="15" x14ac:dyDescent="0.25"/>
  <cols>
    <col min="2" max="2" width="10.85546875" bestFit="1" customWidth="1"/>
    <col min="3" max="3" width="8.85546875" bestFit="1" customWidth="1"/>
    <col min="5" max="5" width="14" bestFit="1" customWidth="1"/>
    <col min="6" max="6" width="14.85546875" bestFit="1" customWidth="1"/>
    <col min="7" max="7" width="11.5703125" bestFit="1" customWidth="1"/>
    <col min="8" max="8" width="13.140625" bestFit="1" customWidth="1"/>
    <col min="9" max="9" width="14.85546875" bestFit="1" customWidth="1"/>
    <col min="10" max="10" width="16.28515625" bestFit="1" customWidth="1"/>
    <col min="11" max="11" width="13.140625" bestFit="1" customWidth="1"/>
    <col min="12" max="12" width="14.85546875" bestFit="1" customWidth="1"/>
    <col min="13" max="218" width="16.28515625" bestFit="1" customWidth="1"/>
    <col min="219" max="220" width="12.7109375" bestFit="1" customWidth="1"/>
  </cols>
  <sheetData>
    <row r="2" spans="2:220" x14ac:dyDescent="0.25">
      <c r="B2" t="s">
        <v>85</v>
      </c>
      <c r="C2" t="s">
        <v>86</v>
      </c>
      <c r="D2" t="s">
        <v>89</v>
      </c>
    </row>
    <row r="3" spans="2:220" x14ac:dyDescent="0.25">
      <c r="B3" s="71" t="s">
        <v>81</v>
      </c>
      <c r="C3" s="71" t="s">
        <v>81</v>
      </c>
      <c r="D3" t="s">
        <v>81</v>
      </c>
      <c r="F3" s="27"/>
    </row>
    <row r="4" spans="2:220" x14ac:dyDescent="0.25">
      <c r="B4" t="s">
        <v>73</v>
      </c>
      <c r="C4" t="s">
        <v>73</v>
      </c>
      <c r="D4" t="s">
        <v>73</v>
      </c>
      <c r="L4" s="27"/>
    </row>
    <row r="5" spans="2:220" x14ac:dyDescent="0.25">
      <c r="B5" t="s">
        <v>59</v>
      </c>
      <c r="C5">
        <v>1900</v>
      </c>
      <c r="D5" t="s">
        <v>515</v>
      </c>
    </row>
    <row r="6" spans="2:220" x14ac:dyDescent="0.25">
      <c r="D6" t="s">
        <v>51</v>
      </c>
      <c r="J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row>
    <row r="7" spans="2:220" x14ac:dyDescent="0.25">
      <c r="D7" t="s">
        <v>32</v>
      </c>
    </row>
    <row r="8" spans="2:220" x14ac:dyDescent="0.25">
      <c r="D8" t="s">
        <v>50</v>
      </c>
    </row>
    <row r="9" spans="2:220" x14ac:dyDescent="0.25">
      <c r="D9" t="s">
        <v>53</v>
      </c>
    </row>
    <row r="10" spans="2:220" x14ac:dyDescent="0.25">
      <c r="D10" t="s">
        <v>522</v>
      </c>
    </row>
    <row r="11" spans="2:220" x14ac:dyDescent="0.25">
      <c r="D11" t="s">
        <v>31</v>
      </c>
    </row>
    <row r="12" spans="2:220" x14ac:dyDescent="0.25">
      <c r="D12" t="s">
        <v>516</v>
      </c>
    </row>
    <row r="13" spans="2:220" x14ac:dyDescent="0.25">
      <c r="D13" t="s">
        <v>518</v>
      </c>
    </row>
    <row r="14" spans="2:220" x14ac:dyDescent="0.25">
      <c r="D14" t="s">
        <v>520</v>
      </c>
    </row>
    <row r="15" spans="2:220" x14ac:dyDescent="0.25">
      <c r="D15" t="s">
        <v>521</v>
      </c>
    </row>
    <row r="16" spans="2:220" x14ac:dyDescent="0.25">
      <c r="D16" t="s">
        <v>33</v>
      </c>
    </row>
    <row r="17" spans="4:4" x14ac:dyDescent="0.25">
      <c r="D17" t="s">
        <v>519</v>
      </c>
    </row>
    <row r="18" spans="4:4" x14ac:dyDescent="0.25">
      <c r="D18" t="s">
        <v>56</v>
      </c>
    </row>
    <row r="19" spans="4:4" x14ac:dyDescent="0.25">
      <c r="D19" t="s">
        <v>523</v>
      </c>
    </row>
    <row r="20" spans="4:4" x14ac:dyDescent="0.25">
      <c r="D20" t="s">
        <v>55</v>
      </c>
    </row>
    <row r="21" spans="4:4" x14ac:dyDescent="0.25">
      <c r="D21" t="s">
        <v>54</v>
      </c>
    </row>
    <row r="22" spans="4:4" x14ac:dyDescent="0.25">
      <c r="D22" t="s">
        <v>52</v>
      </c>
    </row>
    <row r="23" spans="4:4" x14ac:dyDescent="0.25">
      <c r="D23" t="s">
        <v>35</v>
      </c>
    </row>
  </sheetData>
  <sortState xmlns:xlrd2="http://schemas.microsoft.com/office/spreadsheetml/2017/richdata2" ref="C5:C24">
    <sortCondition descending="1" ref="C5:C104857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95F12-85BD-4ABD-8A32-F223A81AE3AA}">
  <sheetPr codeName="Sheet9"/>
  <dimension ref="A1:N532"/>
  <sheetViews>
    <sheetView showGridLines="0" workbookViewId="0">
      <pane ySplit="2" topLeftCell="A3" activePane="bottomLeft" state="frozen"/>
      <selection pane="bottomLeft" activeCell="C424" sqref="C424"/>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0" hidden="1" customWidth="1"/>
  </cols>
  <sheetData>
    <row r="1" spans="1:14" x14ac:dyDescent="0.25">
      <c r="A1" s="93" t="str">
        <f>_xlfn.CONCAT('Main Tab'!C6, "'s Expenses")</f>
        <v>'s Expenses</v>
      </c>
      <c r="B1" s="94"/>
      <c r="C1" s="94"/>
      <c r="D1" s="94"/>
      <c r="E1" s="94"/>
      <c r="F1" s="94"/>
      <c r="G1" s="94"/>
      <c r="H1" s="94"/>
      <c r="I1" s="94"/>
      <c r="J1" s="94"/>
      <c r="K1" s="94"/>
      <c r="L1" s="95"/>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tr">
        <f t="shared" ref="M2" si="0">TEXT(B3,"mmmm")</f>
        <v>January</v>
      </c>
      <c r="N2" s="29">
        <f t="shared" ref="N2" si="1">YEAR(B3)</f>
        <v>2020</v>
      </c>
    </row>
    <row r="3" spans="1:14" x14ac:dyDescent="0.25">
      <c r="A3">
        <v>1</v>
      </c>
      <c r="B3" s="52">
        <v>43832</v>
      </c>
      <c r="C3" s="34">
        <v>15.89</v>
      </c>
      <c r="D3" t="s">
        <v>92</v>
      </c>
      <c r="E3" t="s">
        <v>28</v>
      </c>
      <c r="F3" t="s">
        <v>515</v>
      </c>
      <c r="H3" t="s">
        <v>29</v>
      </c>
      <c r="I3" t="s">
        <v>29</v>
      </c>
      <c r="J3" t="s">
        <v>93</v>
      </c>
      <c r="K3" s="13">
        <v>44206</v>
      </c>
      <c r="L3" t="s">
        <v>91</v>
      </c>
      <c r="M3" t="str">
        <f t="shared" ref="M3:M66" si="2">TEXT(B3,"mmmm")</f>
        <v>January</v>
      </c>
      <c r="N3">
        <f t="shared" ref="N3:N66" si="3">YEAR(B3)</f>
        <v>2020</v>
      </c>
    </row>
    <row r="4" spans="1:14" x14ac:dyDescent="0.25">
      <c r="A4">
        <v>2</v>
      </c>
      <c r="B4" s="52">
        <v>43836</v>
      </c>
      <c r="C4" s="34">
        <v>30</v>
      </c>
      <c r="D4" t="s">
        <v>94</v>
      </c>
      <c r="E4" t="s">
        <v>28</v>
      </c>
      <c r="F4" t="s">
        <v>51</v>
      </c>
      <c r="H4" t="s">
        <v>29</v>
      </c>
      <c r="I4" t="s">
        <v>29</v>
      </c>
      <c r="J4" t="s">
        <v>93</v>
      </c>
      <c r="K4" s="13">
        <v>44206</v>
      </c>
      <c r="L4" t="s">
        <v>91</v>
      </c>
      <c r="M4" t="str">
        <f t="shared" si="2"/>
        <v>January</v>
      </c>
      <c r="N4">
        <f t="shared" si="3"/>
        <v>2020</v>
      </c>
    </row>
    <row r="5" spans="1:14" x14ac:dyDescent="0.25">
      <c r="A5">
        <v>3</v>
      </c>
      <c r="B5" s="52">
        <v>43836</v>
      </c>
      <c r="C5" s="34">
        <v>40.07</v>
      </c>
      <c r="D5" t="s">
        <v>95</v>
      </c>
      <c r="E5" t="s">
        <v>28</v>
      </c>
      <c r="F5" t="s">
        <v>32</v>
      </c>
      <c r="G5" t="s">
        <v>512</v>
      </c>
      <c r="H5" t="s">
        <v>29</v>
      </c>
      <c r="I5" t="s">
        <v>29</v>
      </c>
      <c r="J5" t="s">
        <v>93</v>
      </c>
      <c r="K5" s="13">
        <v>44206</v>
      </c>
      <c r="L5" t="s">
        <v>91</v>
      </c>
      <c r="M5" t="str">
        <f t="shared" si="2"/>
        <v>January</v>
      </c>
      <c r="N5">
        <f t="shared" si="3"/>
        <v>2020</v>
      </c>
    </row>
    <row r="6" spans="1:14" x14ac:dyDescent="0.25">
      <c r="A6">
        <v>4</v>
      </c>
      <c r="B6" s="52">
        <v>43836</v>
      </c>
      <c r="C6" s="34">
        <v>6.34</v>
      </c>
      <c r="D6" t="s">
        <v>96</v>
      </c>
      <c r="E6" t="s">
        <v>28</v>
      </c>
      <c r="F6" t="s">
        <v>522</v>
      </c>
      <c r="H6" t="s">
        <v>29</v>
      </c>
      <c r="I6" t="s">
        <v>29</v>
      </c>
      <c r="J6" t="s">
        <v>93</v>
      </c>
      <c r="K6" s="13">
        <v>44206</v>
      </c>
      <c r="L6" t="s">
        <v>91</v>
      </c>
      <c r="M6" t="str">
        <f t="shared" si="2"/>
        <v>January</v>
      </c>
      <c r="N6">
        <f t="shared" si="3"/>
        <v>2020</v>
      </c>
    </row>
    <row r="7" spans="1:14" x14ac:dyDescent="0.25">
      <c r="A7">
        <v>5</v>
      </c>
      <c r="B7" s="52">
        <v>43836</v>
      </c>
      <c r="C7" s="34">
        <v>33.99</v>
      </c>
      <c r="D7" t="s">
        <v>97</v>
      </c>
      <c r="E7" t="s">
        <v>28</v>
      </c>
      <c r="F7" t="s">
        <v>32</v>
      </c>
      <c r="G7" t="s">
        <v>512</v>
      </c>
      <c r="H7" t="s">
        <v>29</v>
      </c>
      <c r="I7" t="s">
        <v>29</v>
      </c>
      <c r="J7" t="s">
        <v>93</v>
      </c>
      <c r="K7" s="13">
        <v>44206</v>
      </c>
      <c r="L7" t="s">
        <v>91</v>
      </c>
      <c r="M7" t="str">
        <f t="shared" si="2"/>
        <v>January</v>
      </c>
      <c r="N7">
        <f t="shared" si="3"/>
        <v>2020</v>
      </c>
    </row>
    <row r="8" spans="1:14" x14ac:dyDescent="0.25">
      <c r="A8">
        <v>6</v>
      </c>
      <c r="B8" s="52">
        <v>43838</v>
      </c>
      <c r="C8" s="34">
        <v>1.61</v>
      </c>
      <c r="D8" t="s">
        <v>98</v>
      </c>
      <c r="E8" t="s">
        <v>28</v>
      </c>
      <c r="F8" t="s">
        <v>50</v>
      </c>
      <c r="H8" t="s">
        <v>29</v>
      </c>
      <c r="I8" t="s">
        <v>29</v>
      </c>
      <c r="J8" t="s">
        <v>93</v>
      </c>
      <c r="K8" s="13">
        <v>44206</v>
      </c>
      <c r="L8" t="s">
        <v>91</v>
      </c>
      <c r="M8" t="str">
        <f t="shared" si="2"/>
        <v>January</v>
      </c>
      <c r="N8">
        <f t="shared" si="3"/>
        <v>2020</v>
      </c>
    </row>
    <row r="9" spans="1:14" x14ac:dyDescent="0.25">
      <c r="A9">
        <v>7</v>
      </c>
      <c r="B9" s="52">
        <v>43839</v>
      </c>
      <c r="C9" s="34">
        <v>10.07</v>
      </c>
      <c r="D9" t="s">
        <v>99</v>
      </c>
      <c r="E9" t="s">
        <v>28</v>
      </c>
      <c r="F9" t="s">
        <v>50</v>
      </c>
      <c r="H9" t="s">
        <v>29</v>
      </c>
      <c r="I9" t="s">
        <v>29</v>
      </c>
      <c r="J9" t="s">
        <v>93</v>
      </c>
      <c r="K9" s="13">
        <v>44206</v>
      </c>
      <c r="L9" t="s">
        <v>91</v>
      </c>
      <c r="M9" t="str">
        <f t="shared" si="2"/>
        <v>January</v>
      </c>
      <c r="N9">
        <f t="shared" si="3"/>
        <v>2020</v>
      </c>
    </row>
    <row r="10" spans="1:14" x14ac:dyDescent="0.25">
      <c r="A10">
        <v>8</v>
      </c>
      <c r="B10" s="52">
        <v>43839</v>
      </c>
      <c r="C10" s="34">
        <v>1.3</v>
      </c>
      <c r="D10" t="s">
        <v>100</v>
      </c>
      <c r="E10" t="s">
        <v>28</v>
      </c>
      <c r="F10" t="s">
        <v>50</v>
      </c>
      <c r="H10" t="s">
        <v>29</v>
      </c>
      <c r="I10" t="s">
        <v>29</v>
      </c>
      <c r="J10" t="s">
        <v>93</v>
      </c>
      <c r="K10" s="13">
        <v>44206</v>
      </c>
      <c r="L10" t="s">
        <v>91</v>
      </c>
      <c r="M10" t="str">
        <f t="shared" si="2"/>
        <v>January</v>
      </c>
      <c r="N10">
        <f t="shared" si="3"/>
        <v>2020</v>
      </c>
    </row>
    <row r="11" spans="1:14" x14ac:dyDescent="0.25">
      <c r="A11">
        <v>9</v>
      </c>
      <c r="B11" s="52">
        <v>43843</v>
      </c>
      <c r="C11" s="34">
        <v>7</v>
      </c>
      <c r="D11" t="s">
        <v>101</v>
      </c>
      <c r="E11" t="s">
        <v>28</v>
      </c>
      <c r="F11" t="s">
        <v>50</v>
      </c>
      <c r="G11" t="s">
        <v>517</v>
      </c>
      <c r="H11" t="s">
        <v>29</v>
      </c>
      <c r="I11" t="s">
        <v>29</v>
      </c>
      <c r="J11" t="s">
        <v>93</v>
      </c>
      <c r="K11" s="13">
        <v>44206</v>
      </c>
      <c r="L11" t="s">
        <v>91</v>
      </c>
      <c r="M11" t="str">
        <f t="shared" si="2"/>
        <v>January</v>
      </c>
      <c r="N11">
        <f t="shared" si="3"/>
        <v>2020</v>
      </c>
    </row>
    <row r="12" spans="1:14" x14ac:dyDescent="0.25">
      <c r="A12">
        <v>10</v>
      </c>
      <c r="B12" s="52">
        <v>43843</v>
      </c>
      <c r="C12" s="34">
        <v>12.6</v>
      </c>
      <c r="D12" t="s">
        <v>102</v>
      </c>
      <c r="E12" t="s">
        <v>28</v>
      </c>
      <c r="F12" t="s">
        <v>50</v>
      </c>
      <c r="G12" t="s">
        <v>514</v>
      </c>
      <c r="H12" t="s">
        <v>29</v>
      </c>
      <c r="I12" t="s">
        <v>29</v>
      </c>
      <c r="J12" t="s">
        <v>93</v>
      </c>
      <c r="K12" s="13">
        <v>44206</v>
      </c>
      <c r="L12" t="s">
        <v>91</v>
      </c>
      <c r="M12" t="str">
        <f t="shared" si="2"/>
        <v>January</v>
      </c>
      <c r="N12">
        <f t="shared" si="3"/>
        <v>2020</v>
      </c>
    </row>
    <row r="13" spans="1:14" x14ac:dyDescent="0.25">
      <c r="A13">
        <v>11</v>
      </c>
      <c r="B13" s="52">
        <v>43843</v>
      </c>
      <c r="C13" s="34">
        <v>38.11</v>
      </c>
      <c r="D13" t="s">
        <v>103</v>
      </c>
      <c r="E13" t="s">
        <v>28</v>
      </c>
      <c r="F13" t="s">
        <v>32</v>
      </c>
      <c r="G13" t="s">
        <v>512</v>
      </c>
      <c r="H13" t="s">
        <v>29</v>
      </c>
      <c r="I13" t="s">
        <v>29</v>
      </c>
      <c r="J13" t="s">
        <v>93</v>
      </c>
      <c r="K13" s="13">
        <v>44206</v>
      </c>
      <c r="L13" t="s">
        <v>91</v>
      </c>
      <c r="M13" t="str">
        <f t="shared" si="2"/>
        <v>January</v>
      </c>
      <c r="N13">
        <f t="shared" si="3"/>
        <v>2020</v>
      </c>
    </row>
    <row r="14" spans="1:14" x14ac:dyDescent="0.25">
      <c r="A14">
        <v>12</v>
      </c>
      <c r="B14" s="52">
        <v>43843</v>
      </c>
      <c r="C14" s="34">
        <v>67.06</v>
      </c>
      <c r="D14" t="s">
        <v>104</v>
      </c>
      <c r="E14" t="s">
        <v>28</v>
      </c>
      <c r="F14" t="s">
        <v>50</v>
      </c>
      <c r="H14" t="s">
        <v>29</v>
      </c>
      <c r="I14" t="s">
        <v>29</v>
      </c>
      <c r="J14" t="s">
        <v>93</v>
      </c>
      <c r="K14" s="13">
        <v>44206</v>
      </c>
      <c r="L14" t="s">
        <v>91</v>
      </c>
      <c r="M14" t="str">
        <f t="shared" si="2"/>
        <v>January</v>
      </c>
      <c r="N14">
        <f t="shared" si="3"/>
        <v>2020</v>
      </c>
    </row>
    <row r="15" spans="1:14" x14ac:dyDescent="0.25">
      <c r="A15">
        <v>13</v>
      </c>
      <c r="B15" s="52">
        <v>43843</v>
      </c>
      <c r="C15" s="34">
        <v>17.989999999999998</v>
      </c>
      <c r="D15" t="s">
        <v>105</v>
      </c>
      <c r="E15" t="s">
        <v>28</v>
      </c>
      <c r="F15" t="s">
        <v>32</v>
      </c>
      <c r="G15" t="s">
        <v>513</v>
      </c>
      <c r="H15" t="s">
        <v>29</v>
      </c>
      <c r="I15" t="s">
        <v>29</v>
      </c>
      <c r="J15" t="s">
        <v>93</v>
      </c>
      <c r="K15" s="13">
        <v>44206</v>
      </c>
      <c r="L15" t="s">
        <v>91</v>
      </c>
      <c r="M15" t="str">
        <f t="shared" si="2"/>
        <v>January</v>
      </c>
      <c r="N15">
        <f t="shared" si="3"/>
        <v>2020</v>
      </c>
    </row>
    <row r="16" spans="1:14" x14ac:dyDescent="0.25">
      <c r="A16">
        <v>14</v>
      </c>
      <c r="B16" s="52">
        <v>43845</v>
      </c>
      <c r="C16" s="34">
        <v>37.57</v>
      </c>
      <c r="D16" t="s">
        <v>106</v>
      </c>
      <c r="E16" t="s">
        <v>28</v>
      </c>
      <c r="F16" t="s">
        <v>53</v>
      </c>
      <c r="G16" t="s">
        <v>514</v>
      </c>
      <c r="H16" t="s">
        <v>29</v>
      </c>
      <c r="I16" t="s">
        <v>29</v>
      </c>
      <c r="J16" t="s">
        <v>93</v>
      </c>
      <c r="K16" s="13">
        <v>44206</v>
      </c>
      <c r="L16" t="s">
        <v>91</v>
      </c>
      <c r="M16" t="str">
        <f t="shared" si="2"/>
        <v>January</v>
      </c>
      <c r="N16">
        <f t="shared" si="3"/>
        <v>2020</v>
      </c>
    </row>
    <row r="17" spans="1:14" x14ac:dyDescent="0.25">
      <c r="A17">
        <v>15</v>
      </c>
      <c r="B17" s="52">
        <v>43846</v>
      </c>
      <c r="C17" s="34">
        <v>7.42</v>
      </c>
      <c r="D17" t="s">
        <v>107</v>
      </c>
      <c r="E17" t="s">
        <v>28</v>
      </c>
      <c r="F17" t="s">
        <v>50</v>
      </c>
      <c r="H17" t="s">
        <v>29</v>
      </c>
      <c r="I17" t="s">
        <v>29</v>
      </c>
      <c r="J17" t="s">
        <v>93</v>
      </c>
      <c r="K17" s="13">
        <v>44206</v>
      </c>
      <c r="L17" t="s">
        <v>91</v>
      </c>
      <c r="M17" t="str">
        <f t="shared" si="2"/>
        <v>January</v>
      </c>
      <c r="N17">
        <f t="shared" si="3"/>
        <v>2020</v>
      </c>
    </row>
    <row r="18" spans="1:14" x14ac:dyDescent="0.25">
      <c r="A18">
        <v>16</v>
      </c>
      <c r="B18" s="52">
        <v>43847</v>
      </c>
      <c r="C18" s="34">
        <v>10.67</v>
      </c>
      <c r="D18" t="s">
        <v>108</v>
      </c>
      <c r="E18" t="s">
        <v>28</v>
      </c>
      <c r="F18" t="s">
        <v>32</v>
      </c>
      <c r="H18" t="s">
        <v>29</v>
      </c>
      <c r="I18" t="s">
        <v>29</v>
      </c>
      <c r="J18" t="s">
        <v>93</v>
      </c>
      <c r="K18" s="13">
        <v>44206</v>
      </c>
      <c r="L18" t="s">
        <v>91</v>
      </c>
      <c r="M18" t="str">
        <f t="shared" si="2"/>
        <v>January</v>
      </c>
      <c r="N18">
        <f t="shared" si="3"/>
        <v>2020</v>
      </c>
    </row>
    <row r="19" spans="1:14" x14ac:dyDescent="0.25">
      <c r="A19">
        <v>17</v>
      </c>
      <c r="B19" s="52">
        <v>43851</v>
      </c>
      <c r="C19" s="34">
        <v>10.36</v>
      </c>
      <c r="D19" t="s">
        <v>109</v>
      </c>
      <c r="E19" t="s">
        <v>28</v>
      </c>
      <c r="F19" t="s">
        <v>50</v>
      </c>
      <c r="H19" t="s">
        <v>29</v>
      </c>
      <c r="I19" t="s">
        <v>29</v>
      </c>
      <c r="J19" t="s">
        <v>93</v>
      </c>
      <c r="K19" s="13">
        <v>44206</v>
      </c>
      <c r="L19" t="s">
        <v>91</v>
      </c>
      <c r="M19" t="str">
        <f t="shared" si="2"/>
        <v>January</v>
      </c>
      <c r="N19">
        <f t="shared" si="3"/>
        <v>2020</v>
      </c>
    </row>
    <row r="20" spans="1:14" x14ac:dyDescent="0.25">
      <c r="A20">
        <v>18</v>
      </c>
      <c r="B20" s="52">
        <v>43851</v>
      </c>
      <c r="C20" s="34">
        <v>105.97</v>
      </c>
      <c r="D20" t="s">
        <v>110</v>
      </c>
      <c r="E20" t="s">
        <v>28</v>
      </c>
      <c r="F20" t="s">
        <v>522</v>
      </c>
      <c r="H20" t="s">
        <v>29</v>
      </c>
      <c r="I20" t="s">
        <v>29</v>
      </c>
      <c r="J20" t="s">
        <v>93</v>
      </c>
      <c r="K20" s="13">
        <v>44206</v>
      </c>
      <c r="L20" t="s">
        <v>91</v>
      </c>
      <c r="M20" t="str">
        <f t="shared" si="2"/>
        <v>January</v>
      </c>
      <c r="N20">
        <f t="shared" si="3"/>
        <v>2020</v>
      </c>
    </row>
    <row r="21" spans="1:14" x14ac:dyDescent="0.25">
      <c r="A21">
        <v>19</v>
      </c>
      <c r="B21" s="52">
        <v>43851</v>
      </c>
      <c r="C21" s="34">
        <v>27.56</v>
      </c>
      <c r="D21" t="s">
        <v>111</v>
      </c>
      <c r="E21" t="s">
        <v>28</v>
      </c>
      <c r="F21" t="s">
        <v>31</v>
      </c>
      <c r="H21" t="s">
        <v>29</v>
      </c>
      <c r="I21" t="s">
        <v>29</v>
      </c>
      <c r="J21" t="s">
        <v>93</v>
      </c>
      <c r="K21" s="13">
        <v>44206</v>
      </c>
      <c r="L21" t="s">
        <v>91</v>
      </c>
      <c r="M21" t="str">
        <f t="shared" si="2"/>
        <v>January</v>
      </c>
      <c r="N21">
        <f t="shared" si="3"/>
        <v>2020</v>
      </c>
    </row>
    <row r="22" spans="1:14" x14ac:dyDescent="0.25">
      <c r="A22">
        <v>20</v>
      </c>
      <c r="B22" s="52">
        <v>43851</v>
      </c>
      <c r="C22" s="34">
        <v>0.99</v>
      </c>
      <c r="D22" t="s">
        <v>112</v>
      </c>
      <c r="E22" t="s">
        <v>28</v>
      </c>
      <c r="F22" t="s">
        <v>516</v>
      </c>
      <c r="H22" t="s">
        <v>29</v>
      </c>
      <c r="I22" t="s">
        <v>29</v>
      </c>
      <c r="J22" t="s">
        <v>93</v>
      </c>
      <c r="K22" s="13">
        <v>44206</v>
      </c>
      <c r="L22" t="s">
        <v>91</v>
      </c>
      <c r="M22" t="str">
        <f t="shared" si="2"/>
        <v>January</v>
      </c>
      <c r="N22">
        <f t="shared" si="3"/>
        <v>2020</v>
      </c>
    </row>
    <row r="23" spans="1:14" x14ac:dyDescent="0.25">
      <c r="A23">
        <v>21</v>
      </c>
      <c r="B23" s="52">
        <v>43852</v>
      </c>
      <c r="C23" s="34">
        <v>218</v>
      </c>
      <c r="D23" t="s">
        <v>113</v>
      </c>
      <c r="E23" t="s">
        <v>28</v>
      </c>
      <c r="F23" t="s">
        <v>518</v>
      </c>
      <c r="H23" t="s">
        <v>29</v>
      </c>
      <c r="I23" t="s">
        <v>29</v>
      </c>
      <c r="J23" t="s">
        <v>93</v>
      </c>
      <c r="K23" s="13">
        <v>44206</v>
      </c>
      <c r="L23" t="s">
        <v>91</v>
      </c>
      <c r="M23" t="str">
        <f t="shared" si="2"/>
        <v>January</v>
      </c>
      <c r="N23">
        <f t="shared" si="3"/>
        <v>2020</v>
      </c>
    </row>
    <row r="24" spans="1:14" x14ac:dyDescent="0.25">
      <c r="A24">
        <v>22</v>
      </c>
      <c r="B24" s="52">
        <v>43853</v>
      </c>
      <c r="C24" s="34">
        <v>43.34</v>
      </c>
      <c r="D24" t="s">
        <v>114</v>
      </c>
      <c r="E24" t="s">
        <v>28</v>
      </c>
      <c r="F24" t="s">
        <v>520</v>
      </c>
      <c r="H24" t="s">
        <v>29</v>
      </c>
      <c r="I24" t="s">
        <v>29</v>
      </c>
      <c r="J24" t="s">
        <v>93</v>
      </c>
      <c r="K24" s="13">
        <v>44206</v>
      </c>
      <c r="L24" t="s">
        <v>91</v>
      </c>
      <c r="M24" t="str">
        <f t="shared" si="2"/>
        <v>January</v>
      </c>
      <c r="N24">
        <f t="shared" si="3"/>
        <v>2020</v>
      </c>
    </row>
    <row r="25" spans="1:14" x14ac:dyDescent="0.25">
      <c r="A25">
        <v>23</v>
      </c>
      <c r="B25" s="52">
        <v>43853</v>
      </c>
      <c r="C25" s="34">
        <v>35.4</v>
      </c>
      <c r="D25" t="s">
        <v>115</v>
      </c>
      <c r="E25" t="s">
        <v>28</v>
      </c>
      <c r="F25" t="s">
        <v>53</v>
      </c>
      <c r="H25" t="s">
        <v>29</v>
      </c>
      <c r="I25" t="s">
        <v>29</v>
      </c>
      <c r="J25" t="s">
        <v>93</v>
      </c>
      <c r="K25" s="13">
        <v>44206</v>
      </c>
      <c r="L25" t="s">
        <v>91</v>
      </c>
      <c r="M25" t="str">
        <f t="shared" si="2"/>
        <v>January</v>
      </c>
      <c r="N25">
        <f t="shared" si="3"/>
        <v>2020</v>
      </c>
    </row>
    <row r="26" spans="1:14" x14ac:dyDescent="0.25">
      <c r="A26">
        <v>24</v>
      </c>
      <c r="B26" s="52">
        <v>43854</v>
      </c>
      <c r="C26" s="34">
        <v>10</v>
      </c>
      <c r="D26" t="s">
        <v>116</v>
      </c>
      <c r="E26" t="s">
        <v>28</v>
      </c>
      <c r="F26" t="s">
        <v>521</v>
      </c>
      <c r="H26" t="s">
        <v>29</v>
      </c>
      <c r="I26" t="s">
        <v>29</v>
      </c>
      <c r="J26" t="s">
        <v>93</v>
      </c>
      <c r="K26" s="13">
        <v>44206</v>
      </c>
      <c r="L26" t="s">
        <v>91</v>
      </c>
      <c r="M26" t="str">
        <f t="shared" si="2"/>
        <v>January</v>
      </c>
      <c r="N26">
        <f t="shared" si="3"/>
        <v>2020</v>
      </c>
    </row>
    <row r="27" spans="1:14" x14ac:dyDescent="0.25">
      <c r="A27">
        <v>25</v>
      </c>
      <c r="B27" s="52">
        <v>43854</v>
      </c>
      <c r="C27" s="34">
        <v>250</v>
      </c>
      <c r="D27" t="s">
        <v>117</v>
      </c>
      <c r="E27" t="s">
        <v>28</v>
      </c>
      <c r="F27" t="s">
        <v>521</v>
      </c>
      <c r="H27" t="s">
        <v>29</v>
      </c>
      <c r="I27" t="s">
        <v>29</v>
      </c>
      <c r="J27" t="s">
        <v>93</v>
      </c>
      <c r="K27" s="13">
        <v>44206</v>
      </c>
      <c r="L27" t="s">
        <v>91</v>
      </c>
      <c r="M27" t="str">
        <f t="shared" si="2"/>
        <v>January</v>
      </c>
      <c r="N27">
        <f t="shared" si="3"/>
        <v>2020</v>
      </c>
    </row>
    <row r="28" spans="1:14" x14ac:dyDescent="0.25">
      <c r="A28">
        <v>26</v>
      </c>
      <c r="B28" s="52">
        <v>43854</v>
      </c>
      <c r="C28" s="34">
        <v>13.99</v>
      </c>
      <c r="D28" t="s">
        <v>118</v>
      </c>
      <c r="E28" t="s">
        <v>28</v>
      </c>
      <c r="F28" t="s">
        <v>32</v>
      </c>
      <c r="H28" t="s">
        <v>29</v>
      </c>
      <c r="I28" t="s">
        <v>29</v>
      </c>
      <c r="J28" t="s">
        <v>93</v>
      </c>
      <c r="K28" s="13">
        <v>44206</v>
      </c>
      <c r="L28" t="s">
        <v>91</v>
      </c>
      <c r="M28" t="str">
        <f t="shared" si="2"/>
        <v>January</v>
      </c>
      <c r="N28">
        <f t="shared" si="3"/>
        <v>2020</v>
      </c>
    </row>
    <row r="29" spans="1:14" x14ac:dyDescent="0.25">
      <c r="A29">
        <v>27</v>
      </c>
      <c r="B29" s="52">
        <v>43857</v>
      </c>
      <c r="C29" s="34">
        <v>24.41</v>
      </c>
      <c r="D29" t="s">
        <v>119</v>
      </c>
      <c r="E29" t="s">
        <v>28</v>
      </c>
      <c r="F29" t="s">
        <v>50</v>
      </c>
      <c r="H29" t="s">
        <v>29</v>
      </c>
      <c r="I29" t="s">
        <v>29</v>
      </c>
      <c r="J29" t="s">
        <v>93</v>
      </c>
      <c r="K29" s="13">
        <v>44206</v>
      </c>
      <c r="L29" t="s">
        <v>91</v>
      </c>
      <c r="M29" t="str">
        <f t="shared" si="2"/>
        <v>January</v>
      </c>
      <c r="N29">
        <f t="shared" si="3"/>
        <v>2020</v>
      </c>
    </row>
    <row r="30" spans="1:14" x14ac:dyDescent="0.25">
      <c r="A30">
        <v>28</v>
      </c>
      <c r="B30" s="52">
        <v>43857</v>
      </c>
      <c r="C30" s="34">
        <v>93.24</v>
      </c>
      <c r="D30" t="s">
        <v>120</v>
      </c>
      <c r="E30" t="s">
        <v>28</v>
      </c>
      <c r="F30" t="s">
        <v>33</v>
      </c>
      <c r="H30" t="s">
        <v>29</v>
      </c>
      <c r="I30" t="s">
        <v>29</v>
      </c>
      <c r="J30" t="s">
        <v>93</v>
      </c>
      <c r="K30" s="13">
        <v>44206</v>
      </c>
      <c r="L30" t="s">
        <v>91</v>
      </c>
      <c r="M30" t="str">
        <f t="shared" si="2"/>
        <v>January</v>
      </c>
      <c r="N30">
        <f t="shared" si="3"/>
        <v>2020</v>
      </c>
    </row>
    <row r="31" spans="1:14" x14ac:dyDescent="0.25">
      <c r="A31">
        <v>29</v>
      </c>
      <c r="B31" s="52">
        <v>43857</v>
      </c>
      <c r="C31" s="34">
        <v>30.2</v>
      </c>
      <c r="D31" t="s">
        <v>121</v>
      </c>
      <c r="E31" t="s">
        <v>28</v>
      </c>
      <c r="F31" t="s">
        <v>521</v>
      </c>
      <c r="H31" t="s">
        <v>29</v>
      </c>
      <c r="I31" t="s">
        <v>29</v>
      </c>
      <c r="J31" t="s">
        <v>93</v>
      </c>
      <c r="K31" s="13">
        <v>44206</v>
      </c>
      <c r="L31" t="s">
        <v>91</v>
      </c>
      <c r="M31" t="str">
        <f t="shared" si="2"/>
        <v>January</v>
      </c>
      <c r="N31">
        <f t="shared" si="3"/>
        <v>2020</v>
      </c>
    </row>
    <row r="32" spans="1:14" x14ac:dyDescent="0.25">
      <c r="A32">
        <v>30</v>
      </c>
      <c r="B32" s="52">
        <v>43857</v>
      </c>
      <c r="C32" s="34">
        <v>2.11</v>
      </c>
      <c r="D32" t="s">
        <v>122</v>
      </c>
      <c r="E32" t="s">
        <v>28</v>
      </c>
      <c r="F32" t="s">
        <v>522</v>
      </c>
      <c r="H32" t="s">
        <v>29</v>
      </c>
      <c r="I32" t="s">
        <v>29</v>
      </c>
      <c r="J32" t="s">
        <v>93</v>
      </c>
      <c r="K32" s="13">
        <v>44206</v>
      </c>
      <c r="L32" t="s">
        <v>91</v>
      </c>
      <c r="M32" t="str">
        <f t="shared" si="2"/>
        <v>January</v>
      </c>
      <c r="N32">
        <f t="shared" si="3"/>
        <v>2020</v>
      </c>
    </row>
    <row r="33" spans="1:14" x14ac:dyDescent="0.25">
      <c r="A33">
        <v>31</v>
      </c>
      <c r="B33" s="52">
        <v>43858</v>
      </c>
      <c r="C33" s="34">
        <v>15.89</v>
      </c>
      <c r="D33" t="s">
        <v>123</v>
      </c>
      <c r="E33" t="s">
        <v>28</v>
      </c>
      <c r="F33" t="s">
        <v>515</v>
      </c>
      <c r="H33" t="s">
        <v>29</v>
      </c>
      <c r="I33" t="s">
        <v>29</v>
      </c>
      <c r="J33" t="s">
        <v>93</v>
      </c>
      <c r="K33" s="13">
        <v>44206</v>
      </c>
      <c r="L33" t="s">
        <v>91</v>
      </c>
      <c r="M33" t="str">
        <f t="shared" si="2"/>
        <v>January</v>
      </c>
      <c r="N33">
        <f t="shared" si="3"/>
        <v>2020</v>
      </c>
    </row>
    <row r="34" spans="1:14" x14ac:dyDescent="0.25">
      <c r="A34">
        <v>32</v>
      </c>
      <c r="B34" s="52">
        <v>43859</v>
      </c>
      <c r="C34" s="34">
        <v>29.21</v>
      </c>
      <c r="D34" t="s">
        <v>124</v>
      </c>
      <c r="E34" t="s">
        <v>28</v>
      </c>
      <c r="F34" t="s">
        <v>32</v>
      </c>
      <c r="G34" t="s">
        <v>512</v>
      </c>
      <c r="H34" t="s">
        <v>29</v>
      </c>
      <c r="I34" t="s">
        <v>29</v>
      </c>
      <c r="J34" t="s">
        <v>93</v>
      </c>
      <c r="K34" s="13">
        <v>44206</v>
      </c>
      <c r="L34" t="s">
        <v>91</v>
      </c>
      <c r="M34" t="str">
        <f t="shared" si="2"/>
        <v>January</v>
      </c>
      <c r="N34">
        <f t="shared" si="3"/>
        <v>2020</v>
      </c>
    </row>
    <row r="35" spans="1:14" x14ac:dyDescent="0.25">
      <c r="A35">
        <v>33</v>
      </c>
      <c r="B35" s="52">
        <v>43860</v>
      </c>
      <c r="C35" s="34">
        <v>58</v>
      </c>
      <c r="D35" t="s">
        <v>125</v>
      </c>
      <c r="E35" t="s">
        <v>28</v>
      </c>
      <c r="F35" t="s">
        <v>520</v>
      </c>
      <c r="H35" t="s">
        <v>29</v>
      </c>
      <c r="I35" t="s">
        <v>29</v>
      </c>
      <c r="J35" t="s">
        <v>93</v>
      </c>
      <c r="K35" s="13">
        <v>44206</v>
      </c>
      <c r="L35" t="s">
        <v>91</v>
      </c>
      <c r="M35" t="str">
        <f t="shared" si="2"/>
        <v>January</v>
      </c>
      <c r="N35">
        <f t="shared" si="3"/>
        <v>2020</v>
      </c>
    </row>
    <row r="36" spans="1:14" x14ac:dyDescent="0.25">
      <c r="A36">
        <v>34</v>
      </c>
      <c r="B36" s="52">
        <v>43861</v>
      </c>
      <c r="C36" s="34">
        <v>10.59</v>
      </c>
      <c r="D36" t="s">
        <v>126</v>
      </c>
      <c r="E36" t="s">
        <v>28</v>
      </c>
      <c r="F36" t="s">
        <v>31</v>
      </c>
      <c r="H36" t="s">
        <v>29</v>
      </c>
      <c r="I36" t="s">
        <v>29</v>
      </c>
      <c r="J36" t="s">
        <v>93</v>
      </c>
      <c r="K36" s="13">
        <v>44206</v>
      </c>
      <c r="L36" t="s">
        <v>91</v>
      </c>
      <c r="M36" t="str">
        <f t="shared" si="2"/>
        <v>January</v>
      </c>
      <c r="N36">
        <f t="shared" si="3"/>
        <v>2020</v>
      </c>
    </row>
    <row r="37" spans="1:14" x14ac:dyDescent="0.25">
      <c r="A37">
        <v>35</v>
      </c>
      <c r="B37" s="52">
        <v>43864</v>
      </c>
      <c r="C37" s="34">
        <v>9.48</v>
      </c>
      <c r="D37" t="s">
        <v>127</v>
      </c>
      <c r="E37" t="s">
        <v>28</v>
      </c>
      <c r="F37" t="s">
        <v>50</v>
      </c>
      <c r="H37" t="s">
        <v>29</v>
      </c>
      <c r="I37" t="s">
        <v>29</v>
      </c>
      <c r="J37" t="s">
        <v>93</v>
      </c>
      <c r="K37" s="13">
        <v>44206</v>
      </c>
      <c r="L37" t="s">
        <v>91</v>
      </c>
      <c r="M37" t="str">
        <f t="shared" si="2"/>
        <v>February</v>
      </c>
      <c r="N37">
        <f t="shared" si="3"/>
        <v>2020</v>
      </c>
    </row>
    <row r="38" spans="1:14" x14ac:dyDescent="0.25">
      <c r="A38">
        <v>36</v>
      </c>
      <c r="B38" s="52">
        <v>43864</v>
      </c>
      <c r="C38" s="34">
        <v>20.420000000000002</v>
      </c>
      <c r="D38" t="s">
        <v>128</v>
      </c>
      <c r="E38" t="s">
        <v>28</v>
      </c>
      <c r="F38" t="s">
        <v>520</v>
      </c>
      <c r="H38" t="s">
        <v>29</v>
      </c>
      <c r="I38" t="s">
        <v>29</v>
      </c>
      <c r="J38" t="s">
        <v>93</v>
      </c>
      <c r="K38" s="13">
        <v>44206</v>
      </c>
      <c r="L38" t="s">
        <v>91</v>
      </c>
      <c r="M38" t="str">
        <f t="shared" si="2"/>
        <v>February</v>
      </c>
      <c r="N38">
        <f t="shared" si="3"/>
        <v>2020</v>
      </c>
    </row>
    <row r="39" spans="1:14" x14ac:dyDescent="0.25">
      <c r="A39">
        <v>37</v>
      </c>
      <c r="B39" s="52">
        <v>43864</v>
      </c>
      <c r="C39" s="34">
        <v>12.49</v>
      </c>
      <c r="D39" t="s">
        <v>129</v>
      </c>
      <c r="E39" t="s">
        <v>28</v>
      </c>
      <c r="F39" t="s">
        <v>32</v>
      </c>
      <c r="G39" t="s">
        <v>513</v>
      </c>
      <c r="H39" t="s">
        <v>29</v>
      </c>
      <c r="I39" t="s">
        <v>29</v>
      </c>
      <c r="J39" t="s">
        <v>93</v>
      </c>
      <c r="K39" s="13">
        <v>44206</v>
      </c>
      <c r="L39" t="s">
        <v>91</v>
      </c>
      <c r="M39" t="str">
        <f t="shared" si="2"/>
        <v>February</v>
      </c>
      <c r="N39">
        <f t="shared" si="3"/>
        <v>2020</v>
      </c>
    </row>
    <row r="40" spans="1:14" x14ac:dyDescent="0.25">
      <c r="A40">
        <v>38</v>
      </c>
      <c r="B40" s="52">
        <v>43868</v>
      </c>
      <c r="C40" s="34">
        <v>2.75</v>
      </c>
      <c r="D40" t="s">
        <v>130</v>
      </c>
      <c r="E40" t="s">
        <v>28</v>
      </c>
      <c r="F40" t="s">
        <v>50</v>
      </c>
      <c r="H40" t="s">
        <v>29</v>
      </c>
      <c r="I40" t="s">
        <v>29</v>
      </c>
      <c r="J40" t="s">
        <v>93</v>
      </c>
      <c r="K40" s="13">
        <v>44206</v>
      </c>
      <c r="L40" t="s">
        <v>91</v>
      </c>
      <c r="M40" t="str">
        <f t="shared" si="2"/>
        <v>February</v>
      </c>
      <c r="N40">
        <f t="shared" si="3"/>
        <v>2020</v>
      </c>
    </row>
    <row r="41" spans="1:14" x14ac:dyDescent="0.25">
      <c r="A41">
        <v>39</v>
      </c>
      <c r="B41" s="52">
        <v>43871</v>
      </c>
      <c r="C41" s="34">
        <v>2.11</v>
      </c>
      <c r="D41" t="s">
        <v>131</v>
      </c>
      <c r="E41" t="s">
        <v>28</v>
      </c>
      <c r="F41" t="s">
        <v>515</v>
      </c>
      <c r="H41" t="s">
        <v>29</v>
      </c>
      <c r="I41" t="s">
        <v>29</v>
      </c>
      <c r="J41" t="s">
        <v>93</v>
      </c>
      <c r="K41" s="13">
        <v>44206</v>
      </c>
      <c r="L41" t="s">
        <v>91</v>
      </c>
      <c r="M41" t="str">
        <f t="shared" si="2"/>
        <v>February</v>
      </c>
      <c r="N41">
        <f t="shared" si="3"/>
        <v>2020</v>
      </c>
    </row>
    <row r="42" spans="1:14" x14ac:dyDescent="0.25">
      <c r="A42">
        <v>40</v>
      </c>
      <c r="B42" s="52">
        <v>43871</v>
      </c>
      <c r="C42" s="34">
        <v>35.42</v>
      </c>
      <c r="D42" t="s">
        <v>132</v>
      </c>
      <c r="E42" t="s">
        <v>28</v>
      </c>
      <c r="F42" t="s">
        <v>53</v>
      </c>
      <c r="H42" t="s">
        <v>29</v>
      </c>
      <c r="I42" t="s">
        <v>29</v>
      </c>
      <c r="J42" t="s">
        <v>93</v>
      </c>
      <c r="K42" s="13">
        <v>44206</v>
      </c>
      <c r="L42" t="s">
        <v>91</v>
      </c>
      <c r="M42" t="str">
        <f t="shared" si="2"/>
        <v>February</v>
      </c>
      <c r="N42">
        <f t="shared" si="3"/>
        <v>2020</v>
      </c>
    </row>
    <row r="43" spans="1:14" x14ac:dyDescent="0.25">
      <c r="A43">
        <v>41</v>
      </c>
      <c r="B43" s="52">
        <v>43871</v>
      </c>
      <c r="C43" s="34">
        <v>30</v>
      </c>
      <c r="D43" t="s">
        <v>133</v>
      </c>
      <c r="E43" t="s">
        <v>28</v>
      </c>
      <c r="F43" t="s">
        <v>50</v>
      </c>
      <c r="H43" t="s">
        <v>29</v>
      </c>
      <c r="I43" t="s">
        <v>29</v>
      </c>
      <c r="J43" t="s">
        <v>93</v>
      </c>
      <c r="K43" s="13">
        <v>44206</v>
      </c>
      <c r="L43" t="s">
        <v>91</v>
      </c>
      <c r="M43" t="str">
        <f t="shared" si="2"/>
        <v>February</v>
      </c>
      <c r="N43">
        <f t="shared" si="3"/>
        <v>2020</v>
      </c>
    </row>
    <row r="44" spans="1:14" x14ac:dyDescent="0.25">
      <c r="A44">
        <v>42</v>
      </c>
      <c r="B44" s="52">
        <v>43879</v>
      </c>
      <c r="C44" s="34">
        <v>6.89</v>
      </c>
      <c r="D44" t="s">
        <v>134</v>
      </c>
      <c r="E44" t="s">
        <v>28</v>
      </c>
      <c r="F44" t="s">
        <v>50</v>
      </c>
      <c r="H44" t="s">
        <v>29</v>
      </c>
      <c r="I44" t="s">
        <v>29</v>
      </c>
      <c r="J44" t="s">
        <v>93</v>
      </c>
      <c r="K44" s="13">
        <v>44206</v>
      </c>
      <c r="L44" t="s">
        <v>91</v>
      </c>
      <c r="M44" t="str">
        <f t="shared" si="2"/>
        <v>February</v>
      </c>
      <c r="N44">
        <f t="shared" si="3"/>
        <v>2020</v>
      </c>
    </row>
    <row r="45" spans="1:14" x14ac:dyDescent="0.25">
      <c r="A45">
        <v>43</v>
      </c>
      <c r="B45" s="52">
        <v>43879</v>
      </c>
      <c r="C45" s="34">
        <v>142.04</v>
      </c>
      <c r="D45" t="s">
        <v>135</v>
      </c>
      <c r="E45" t="s">
        <v>28</v>
      </c>
      <c r="F45" t="s">
        <v>51</v>
      </c>
      <c r="H45" t="s">
        <v>29</v>
      </c>
      <c r="I45" t="s">
        <v>29</v>
      </c>
      <c r="J45" t="s">
        <v>93</v>
      </c>
      <c r="K45" s="13">
        <v>44206</v>
      </c>
      <c r="L45" t="s">
        <v>91</v>
      </c>
      <c r="M45" t="str">
        <f t="shared" si="2"/>
        <v>February</v>
      </c>
      <c r="N45">
        <f t="shared" si="3"/>
        <v>2020</v>
      </c>
    </row>
    <row r="46" spans="1:14" x14ac:dyDescent="0.25">
      <c r="A46">
        <v>44</v>
      </c>
      <c r="B46" s="52">
        <v>43879</v>
      </c>
      <c r="C46" s="34">
        <v>5.5</v>
      </c>
      <c r="D46" t="s">
        <v>136</v>
      </c>
      <c r="E46" t="s">
        <v>28</v>
      </c>
      <c r="F46" t="s">
        <v>51</v>
      </c>
      <c r="H46" t="s">
        <v>29</v>
      </c>
      <c r="I46" t="s">
        <v>29</v>
      </c>
      <c r="J46" t="s">
        <v>93</v>
      </c>
      <c r="K46" s="13">
        <v>44206</v>
      </c>
      <c r="L46" t="s">
        <v>91</v>
      </c>
      <c r="M46" t="str">
        <f t="shared" si="2"/>
        <v>February</v>
      </c>
      <c r="N46">
        <f t="shared" si="3"/>
        <v>2020</v>
      </c>
    </row>
    <row r="47" spans="1:14" x14ac:dyDescent="0.25">
      <c r="A47">
        <v>45</v>
      </c>
      <c r="B47" s="52">
        <v>43879</v>
      </c>
      <c r="C47" s="34">
        <v>4.79</v>
      </c>
      <c r="D47" t="s">
        <v>137</v>
      </c>
      <c r="E47" t="s">
        <v>28</v>
      </c>
      <c r="F47" t="s">
        <v>50</v>
      </c>
      <c r="H47" t="s">
        <v>29</v>
      </c>
      <c r="I47" t="s">
        <v>29</v>
      </c>
      <c r="J47" t="s">
        <v>93</v>
      </c>
      <c r="K47" s="13">
        <v>44206</v>
      </c>
      <c r="L47" t="s">
        <v>91</v>
      </c>
      <c r="M47" t="str">
        <f t="shared" si="2"/>
        <v>February</v>
      </c>
      <c r="N47">
        <f t="shared" si="3"/>
        <v>2020</v>
      </c>
    </row>
    <row r="48" spans="1:14" x14ac:dyDescent="0.25">
      <c r="A48">
        <v>46</v>
      </c>
      <c r="B48" s="52">
        <v>43880</v>
      </c>
      <c r="C48" s="34">
        <v>9.5299999999999994</v>
      </c>
      <c r="D48" t="s">
        <v>138</v>
      </c>
      <c r="E48" t="s">
        <v>28</v>
      </c>
      <c r="F48" t="s">
        <v>519</v>
      </c>
      <c r="H48" t="s">
        <v>29</v>
      </c>
      <c r="I48" t="s">
        <v>29</v>
      </c>
      <c r="J48" t="s">
        <v>93</v>
      </c>
      <c r="K48" s="13">
        <v>44206</v>
      </c>
      <c r="L48" t="s">
        <v>91</v>
      </c>
      <c r="M48" t="str">
        <f t="shared" si="2"/>
        <v>February</v>
      </c>
      <c r="N48">
        <f t="shared" si="3"/>
        <v>2020</v>
      </c>
    </row>
    <row r="49" spans="1:14" x14ac:dyDescent="0.25">
      <c r="A49">
        <v>47</v>
      </c>
      <c r="B49" s="52">
        <v>43880</v>
      </c>
      <c r="C49" s="34">
        <v>74.150000000000006</v>
      </c>
      <c r="D49" t="s">
        <v>139</v>
      </c>
      <c r="E49" t="s">
        <v>28</v>
      </c>
      <c r="F49" t="s">
        <v>56</v>
      </c>
      <c r="H49" t="s">
        <v>29</v>
      </c>
      <c r="I49" t="s">
        <v>29</v>
      </c>
      <c r="J49" t="s">
        <v>93</v>
      </c>
      <c r="K49" s="13">
        <v>44206</v>
      </c>
      <c r="L49" t="s">
        <v>91</v>
      </c>
      <c r="M49" t="str">
        <f t="shared" si="2"/>
        <v>February</v>
      </c>
      <c r="N49">
        <f t="shared" si="3"/>
        <v>2020</v>
      </c>
    </row>
    <row r="50" spans="1:14" x14ac:dyDescent="0.25">
      <c r="A50">
        <v>48</v>
      </c>
      <c r="B50" s="52">
        <v>43880</v>
      </c>
      <c r="C50" s="34">
        <v>13.95</v>
      </c>
      <c r="D50" t="s">
        <v>140</v>
      </c>
      <c r="E50" t="s">
        <v>28</v>
      </c>
      <c r="F50" t="s">
        <v>32</v>
      </c>
      <c r="G50" t="s">
        <v>512</v>
      </c>
      <c r="H50" t="s">
        <v>29</v>
      </c>
      <c r="I50" t="s">
        <v>29</v>
      </c>
      <c r="J50" t="s">
        <v>93</v>
      </c>
      <c r="K50" s="13">
        <v>44206</v>
      </c>
      <c r="L50" t="s">
        <v>91</v>
      </c>
      <c r="M50" t="str">
        <f t="shared" si="2"/>
        <v>February</v>
      </c>
      <c r="N50">
        <f t="shared" si="3"/>
        <v>2020</v>
      </c>
    </row>
    <row r="51" spans="1:14" x14ac:dyDescent="0.25">
      <c r="A51">
        <v>49</v>
      </c>
      <c r="B51" s="52">
        <v>43881</v>
      </c>
      <c r="C51" s="34">
        <v>15.89</v>
      </c>
      <c r="D51" t="s">
        <v>141</v>
      </c>
      <c r="E51" t="s">
        <v>28</v>
      </c>
      <c r="F51" t="s">
        <v>519</v>
      </c>
      <c r="H51" t="s">
        <v>29</v>
      </c>
      <c r="I51" t="s">
        <v>29</v>
      </c>
      <c r="J51" t="s">
        <v>93</v>
      </c>
      <c r="K51" s="13">
        <v>44206</v>
      </c>
      <c r="L51" t="s">
        <v>91</v>
      </c>
      <c r="M51" t="str">
        <f t="shared" si="2"/>
        <v>February</v>
      </c>
      <c r="N51">
        <f t="shared" si="3"/>
        <v>2020</v>
      </c>
    </row>
    <row r="52" spans="1:14" x14ac:dyDescent="0.25">
      <c r="A52">
        <v>50</v>
      </c>
      <c r="B52" s="52">
        <v>43882</v>
      </c>
      <c r="C52" s="34">
        <v>0.99</v>
      </c>
      <c r="D52" t="s">
        <v>142</v>
      </c>
      <c r="E52" t="s">
        <v>28</v>
      </c>
      <c r="F52" t="s">
        <v>516</v>
      </c>
      <c r="H52" t="s">
        <v>29</v>
      </c>
      <c r="I52" t="s">
        <v>29</v>
      </c>
      <c r="J52" t="s">
        <v>93</v>
      </c>
      <c r="K52" s="13">
        <v>44206</v>
      </c>
      <c r="L52" t="s">
        <v>91</v>
      </c>
      <c r="M52" t="str">
        <f t="shared" si="2"/>
        <v>February</v>
      </c>
      <c r="N52">
        <f t="shared" si="3"/>
        <v>2020</v>
      </c>
    </row>
    <row r="53" spans="1:14" x14ac:dyDescent="0.25">
      <c r="A53">
        <v>51</v>
      </c>
      <c r="B53" s="52">
        <v>43885</v>
      </c>
      <c r="C53" s="34">
        <v>34.380000000000003</v>
      </c>
      <c r="D53" t="s">
        <v>143</v>
      </c>
      <c r="E53" t="s">
        <v>28</v>
      </c>
      <c r="F53" t="s">
        <v>53</v>
      </c>
      <c r="H53" t="s">
        <v>29</v>
      </c>
      <c r="I53" t="s">
        <v>29</v>
      </c>
      <c r="J53" t="s">
        <v>93</v>
      </c>
      <c r="K53" s="13">
        <v>44206</v>
      </c>
      <c r="L53" t="s">
        <v>91</v>
      </c>
      <c r="M53" t="str">
        <f t="shared" si="2"/>
        <v>February</v>
      </c>
      <c r="N53">
        <f t="shared" si="3"/>
        <v>2020</v>
      </c>
    </row>
    <row r="54" spans="1:14" x14ac:dyDescent="0.25">
      <c r="A54">
        <v>52</v>
      </c>
      <c r="B54" s="52">
        <v>43885</v>
      </c>
      <c r="C54" s="34">
        <v>15.77</v>
      </c>
      <c r="D54" t="s">
        <v>144</v>
      </c>
      <c r="E54" t="s">
        <v>28</v>
      </c>
      <c r="F54" t="s">
        <v>32</v>
      </c>
      <c r="H54" t="s">
        <v>29</v>
      </c>
      <c r="I54" t="s">
        <v>29</v>
      </c>
      <c r="J54" t="s">
        <v>93</v>
      </c>
      <c r="K54" s="13">
        <v>44206</v>
      </c>
      <c r="L54" t="s">
        <v>91</v>
      </c>
      <c r="M54" t="str">
        <f t="shared" si="2"/>
        <v>February</v>
      </c>
      <c r="N54">
        <f t="shared" si="3"/>
        <v>2020</v>
      </c>
    </row>
    <row r="55" spans="1:14" x14ac:dyDescent="0.25">
      <c r="A55">
        <v>53</v>
      </c>
      <c r="B55" s="52">
        <v>43886</v>
      </c>
      <c r="C55" s="34">
        <v>53.33</v>
      </c>
      <c r="D55" t="s">
        <v>145</v>
      </c>
      <c r="E55" t="s">
        <v>28</v>
      </c>
      <c r="F55" t="s">
        <v>52</v>
      </c>
      <c r="H55" t="s">
        <v>29</v>
      </c>
      <c r="I55" t="s">
        <v>29</v>
      </c>
      <c r="J55" t="s">
        <v>93</v>
      </c>
      <c r="K55" s="13">
        <v>44206</v>
      </c>
      <c r="L55" t="s">
        <v>91</v>
      </c>
      <c r="M55" t="str">
        <f t="shared" si="2"/>
        <v>February</v>
      </c>
      <c r="N55">
        <f t="shared" si="3"/>
        <v>2020</v>
      </c>
    </row>
    <row r="56" spans="1:14" x14ac:dyDescent="0.25">
      <c r="A56">
        <v>54</v>
      </c>
      <c r="B56" s="52">
        <v>43889</v>
      </c>
      <c r="C56" s="34">
        <v>26.5</v>
      </c>
      <c r="D56" t="s">
        <v>146</v>
      </c>
      <c r="E56" t="s">
        <v>28</v>
      </c>
      <c r="F56" t="s">
        <v>522</v>
      </c>
      <c r="H56" t="s">
        <v>29</v>
      </c>
      <c r="I56" t="s">
        <v>29</v>
      </c>
      <c r="J56" t="s">
        <v>93</v>
      </c>
      <c r="K56" s="13">
        <v>44206</v>
      </c>
      <c r="L56" t="s">
        <v>91</v>
      </c>
      <c r="M56" t="str">
        <f t="shared" si="2"/>
        <v>February</v>
      </c>
      <c r="N56">
        <f t="shared" si="3"/>
        <v>2020</v>
      </c>
    </row>
    <row r="57" spans="1:14" x14ac:dyDescent="0.25">
      <c r="A57">
        <v>55</v>
      </c>
      <c r="B57" s="52">
        <v>43892</v>
      </c>
      <c r="C57" s="34">
        <v>10.59</v>
      </c>
      <c r="D57" t="s">
        <v>147</v>
      </c>
      <c r="E57" t="s">
        <v>28</v>
      </c>
      <c r="F57" t="s">
        <v>31</v>
      </c>
      <c r="H57" t="s">
        <v>29</v>
      </c>
      <c r="I57" t="s">
        <v>29</v>
      </c>
      <c r="J57" t="s">
        <v>93</v>
      </c>
      <c r="K57" s="13">
        <v>44206</v>
      </c>
      <c r="L57" t="s">
        <v>91</v>
      </c>
      <c r="M57" t="str">
        <f t="shared" si="2"/>
        <v>March</v>
      </c>
      <c r="N57">
        <f t="shared" si="3"/>
        <v>2020</v>
      </c>
    </row>
    <row r="58" spans="1:14" x14ac:dyDescent="0.25">
      <c r="A58">
        <v>56</v>
      </c>
      <c r="B58" s="52">
        <v>43899</v>
      </c>
      <c r="C58" s="34">
        <v>201.95</v>
      </c>
      <c r="D58" t="s">
        <v>148</v>
      </c>
      <c r="E58" t="s">
        <v>28</v>
      </c>
      <c r="F58" t="s">
        <v>519</v>
      </c>
      <c r="H58" t="s">
        <v>29</v>
      </c>
      <c r="I58" t="s">
        <v>29</v>
      </c>
      <c r="J58" t="s">
        <v>93</v>
      </c>
      <c r="K58" s="13">
        <v>44206</v>
      </c>
      <c r="L58" t="s">
        <v>91</v>
      </c>
      <c r="M58" t="str">
        <f t="shared" si="2"/>
        <v>March</v>
      </c>
      <c r="N58">
        <f t="shared" si="3"/>
        <v>2020</v>
      </c>
    </row>
    <row r="59" spans="1:14" x14ac:dyDescent="0.25">
      <c r="A59">
        <v>57</v>
      </c>
      <c r="B59" s="52">
        <v>43899</v>
      </c>
      <c r="C59" s="34">
        <v>2.5</v>
      </c>
      <c r="D59" t="s">
        <v>149</v>
      </c>
      <c r="E59" t="s">
        <v>28</v>
      </c>
      <c r="F59" t="s">
        <v>523</v>
      </c>
      <c r="H59" t="s">
        <v>29</v>
      </c>
      <c r="I59" t="s">
        <v>29</v>
      </c>
      <c r="J59" t="s">
        <v>93</v>
      </c>
      <c r="K59" s="13">
        <v>44206</v>
      </c>
      <c r="L59" t="s">
        <v>91</v>
      </c>
      <c r="M59" t="str">
        <f t="shared" si="2"/>
        <v>March</v>
      </c>
      <c r="N59">
        <f t="shared" si="3"/>
        <v>2020</v>
      </c>
    </row>
    <row r="60" spans="1:14" x14ac:dyDescent="0.25">
      <c r="A60">
        <v>58</v>
      </c>
      <c r="B60" s="52">
        <v>43899</v>
      </c>
      <c r="C60" s="34">
        <v>61.95</v>
      </c>
      <c r="D60" t="s">
        <v>148</v>
      </c>
      <c r="E60" t="s">
        <v>28</v>
      </c>
      <c r="F60" t="s">
        <v>519</v>
      </c>
      <c r="H60" t="s">
        <v>29</v>
      </c>
      <c r="I60" t="s">
        <v>29</v>
      </c>
      <c r="J60" t="s">
        <v>93</v>
      </c>
      <c r="K60" s="13">
        <v>44206</v>
      </c>
      <c r="L60" t="s">
        <v>91</v>
      </c>
      <c r="M60" t="str">
        <f t="shared" si="2"/>
        <v>March</v>
      </c>
      <c r="N60">
        <f t="shared" si="3"/>
        <v>2020</v>
      </c>
    </row>
    <row r="61" spans="1:14" x14ac:dyDescent="0.25">
      <c r="A61">
        <v>59</v>
      </c>
      <c r="B61" s="52">
        <v>43900</v>
      </c>
      <c r="C61" s="34">
        <v>35</v>
      </c>
      <c r="D61" t="s">
        <v>150</v>
      </c>
      <c r="E61" t="s">
        <v>28</v>
      </c>
      <c r="F61" t="s">
        <v>56</v>
      </c>
      <c r="H61" t="s">
        <v>29</v>
      </c>
      <c r="I61" t="s">
        <v>29</v>
      </c>
      <c r="J61" t="s">
        <v>93</v>
      </c>
      <c r="K61" s="13">
        <v>44206</v>
      </c>
      <c r="L61" t="s">
        <v>91</v>
      </c>
      <c r="M61" t="str">
        <f t="shared" si="2"/>
        <v>March</v>
      </c>
      <c r="N61">
        <f t="shared" si="3"/>
        <v>2020</v>
      </c>
    </row>
    <row r="62" spans="1:14" x14ac:dyDescent="0.25">
      <c r="A62">
        <v>60</v>
      </c>
      <c r="B62" s="52">
        <v>43901</v>
      </c>
      <c r="C62" s="34">
        <v>2.5</v>
      </c>
      <c r="D62" t="s">
        <v>151</v>
      </c>
      <c r="E62" t="s">
        <v>28</v>
      </c>
      <c r="F62" t="s">
        <v>523</v>
      </c>
      <c r="H62" t="s">
        <v>29</v>
      </c>
      <c r="I62" t="s">
        <v>29</v>
      </c>
      <c r="J62" t="s">
        <v>93</v>
      </c>
      <c r="K62" s="13">
        <v>44206</v>
      </c>
      <c r="L62" t="s">
        <v>91</v>
      </c>
      <c r="M62" t="str">
        <f t="shared" si="2"/>
        <v>March</v>
      </c>
      <c r="N62">
        <f t="shared" si="3"/>
        <v>2020</v>
      </c>
    </row>
    <row r="63" spans="1:14" x14ac:dyDescent="0.25">
      <c r="A63">
        <v>61</v>
      </c>
      <c r="B63" s="52">
        <v>43901</v>
      </c>
      <c r="C63" s="34">
        <v>160</v>
      </c>
      <c r="D63" t="s">
        <v>152</v>
      </c>
      <c r="E63" t="s">
        <v>28</v>
      </c>
      <c r="F63" t="s">
        <v>51</v>
      </c>
      <c r="H63" t="s">
        <v>29</v>
      </c>
      <c r="I63" t="s">
        <v>29</v>
      </c>
      <c r="J63" t="s">
        <v>93</v>
      </c>
      <c r="K63" s="13">
        <v>44206</v>
      </c>
      <c r="L63" t="s">
        <v>91</v>
      </c>
      <c r="M63" t="str">
        <f t="shared" si="2"/>
        <v>March</v>
      </c>
      <c r="N63">
        <f t="shared" si="3"/>
        <v>2020</v>
      </c>
    </row>
    <row r="64" spans="1:14" x14ac:dyDescent="0.25">
      <c r="A64">
        <v>62</v>
      </c>
      <c r="B64" s="52">
        <v>43913</v>
      </c>
      <c r="C64" s="34">
        <v>0.99</v>
      </c>
      <c r="D64" t="s">
        <v>153</v>
      </c>
      <c r="E64" t="s">
        <v>28</v>
      </c>
      <c r="F64" t="s">
        <v>516</v>
      </c>
      <c r="H64" t="s">
        <v>29</v>
      </c>
      <c r="I64" t="s">
        <v>29</v>
      </c>
      <c r="J64" t="s">
        <v>93</v>
      </c>
      <c r="K64" s="13">
        <v>44206</v>
      </c>
      <c r="L64" t="s">
        <v>91</v>
      </c>
      <c r="M64" t="str">
        <f t="shared" si="2"/>
        <v>March</v>
      </c>
      <c r="N64">
        <f t="shared" si="3"/>
        <v>2020</v>
      </c>
    </row>
    <row r="65" spans="1:14" x14ac:dyDescent="0.25">
      <c r="A65">
        <v>63</v>
      </c>
      <c r="B65" s="52">
        <v>43913</v>
      </c>
      <c r="C65" s="34">
        <v>30.27</v>
      </c>
      <c r="D65" t="s">
        <v>154</v>
      </c>
      <c r="E65" t="s">
        <v>28</v>
      </c>
      <c r="F65" t="s">
        <v>53</v>
      </c>
      <c r="H65" t="s">
        <v>29</v>
      </c>
      <c r="I65" t="s">
        <v>29</v>
      </c>
      <c r="J65" t="s">
        <v>93</v>
      </c>
      <c r="K65" s="13">
        <v>44206</v>
      </c>
      <c r="L65" t="s">
        <v>91</v>
      </c>
      <c r="M65" t="str">
        <f t="shared" si="2"/>
        <v>March</v>
      </c>
      <c r="N65">
        <f t="shared" si="3"/>
        <v>2020</v>
      </c>
    </row>
    <row r="66" spans="1:14" x14ac:dyDescent="0.25">
      <c r="A66">
        <v>64</v>
      </c>
      <c r="B66" s="52">
        <v>43913</v>
      </c>
      <c r="C66" s="34">
        <v>25.1</v>
      </c>
      <c r="D66" t="s">
        <v>155</v>
      </c>
      <c r="E66" t="s">
        <v>28</v>
      </c>
      <c r="F66" t="s">
        <v>519</v>
      </c>
      <c r="H66" t="s">
        <v>29</v>
      </c>
      <c r="I66" t="s">
        <v>29</v>
      </c>
      <c r="J66" t="s">
        <v>93</v>
      </c>
      <c r="K66" s="13">
        <v>44206</v>
      </c>
      <c r="L66" t="s">
        <v>91</v>
      </c>
      <c r="M66" t="str">
        <f t="shared" si="2"/>
        <v>March</v>
      </c>
      <c r="N66">
        <f t="shared" si="3"/>
        <v>2020</v>
      </c>
    </row>
    <row r="67" spans="1:14" x14ac:dyDescent="0.25">
      <c r="A67">
        <v>65</v>
      </c>
      <c r="B67" s="52">
        <v>43914</v>
      </c>
      <c r="C67" s="34">
        <v>75</v>
      </c>
      <c r="D67" t="s">
        <v>156</v>
      </c>
      <c r="E67" t="s">
        <v>28</v>
      </c>
      <c r="F67" t="s">
        <v>521</v>
      </c>
      <c r="H67" t="s">
        <v>29</v>
      </c>
      <c r="I67" t="s">
        <v>29</v>
      </c>
      <c r="J67" t="s">
        <v>93</v>
      </c>
      <c r="K67" s="13">
        <v>44206</v>
      </c>
      <c r="L67" t="s">
        <v>91</v>
      </c>
      <c r="M67" t="str">
        <f t="shared" ref="M67:M130" si="4">TEXT(B67,"mmmm")</f>
        <v>March</v>
      </c>
      <c r="N67">
        <f t="shared" ref="N67:N130" si="5">YEAR(B67)</f>
        <v>2020</v>
      </c>
    </row>
    <row r="68" spans="1:14" x14ac:dyDescent="0.25">
      <c r="A68">
        <v>66</v>
      </c>
      <c r="B68" s="52">
        <v>43921</v>
      </c>
      <c r="C68" s="34">
        <v>10.59</v>
      </c>
      <c r="D68" t="s">
        <v>157</v>
      </c>
      <c r="E68" t="s">
        <v>28</v>
      </c>
      <c r="F68" t="s">
        <v>31</v>
      </c>
      <c r="H68" t="s">
        <v>29</v>
      </c>
      <c r="I68" t="s">
        <v>29</v>
      </c>
      <c r="J68" t="s">
        <v>93</v>
      </c>
      <c r="K68" s="13">
        <v>44206</v>
      </c>
      <c r="L68" t="s">
        <v>91</v>
      </c>
      <c r="M68" t="str">
        <f t="shared" si="4"/>
        <v>March</v>
      </c>
      <c r="N68">
        <f t="shared" si="5"/>
        <v>2020</v>
      </c>
    </row>
    <row r="69" spans="1:14" x14ac:dyDescent="0.25">
      <c r="A69">
        <v>67</v>
      </c>
      <c r="B69" s="52">
        <v>43924</v>
      </c>
      <c r="C69" s="34">
        <v>208.47</v>
      </c>
      <c r="D69" t="s">
        <v>158</v>
      </c>
      <c r="E69" t="s">
        <v>28</v>
      </c>
      <c r="F69" t="s">
        <v>32</v>
      </c>
      <c r="H69" t="s">
        <v>29</v>
      </c>
      <c r="I69" t="s">
        <v>29</v>
      </c>
      <c r="J69" t="s">
        <v>93</v>
      </c>
      <c r="K69" s="13">
        <v>44206</v>
      </c>
      <c r="L69" t="s">
        <v>91</v>
      </c>
      <c r="M69" t="str">
        <f t="shared" si="4"/>
        <v>April</v>
      </c>
      <c r="N69">
        <f t="shared" si="5"/>
        <v>2020</v>
      </c>
    </row>
    <row r="70" spans="1:14" x14ac:dyDescent="0.25">
      <c r="A70">
        <v>68</v>
      </c>
      <c r="B70" s="52">
        <v>43934</v>
      </c>
      <c r="C70" s="34">
        <v>78.44</v>
      </c>
      <c r="D70" t="s">
        <v>159</v>
      </c>
      <c r="E70" t="s">
        <v>28</v>
      </c>
      <c r="F70" t="s">
        <v>522</v>
      </c>
      <c r="H70" t="s">
        <v>29</v>
      </c>
      <c r="I70" t="s">
        <v>29</v>
      </c>
      <c r="J70" t="s">
        <v>93</v>
      </c>
      <c r="K70" s="13">
        <v>44206</v>
      </c>
      <c r="L70" t="s">
        <v>91</v>
      </c>
      <c r="M70" t="str">
        <f t="shared" si="4"/>
        <v>April</v>
      </c>
      <c r="N70">
        <f t="shared" si="5"/>
        <v>2020</v>
      </c>
    </row>
    <row r="71" spans="1:14" x14ac:dyDescent="0.25">
      <c r="A71">
        <v>69</v>
      </c>
      <c r="B71" s="52">
        <v>43942</v>
      </c>
      <c r="C71" s="34">
        <v>0.99</v>
      </c>
      <c r="D71" t="s">
        <v>160</v>
      </c>
      <c r="E71" t="s">
        <v>28</v>
      </c>
      <c r="F71" t="s">
        <v>516</v>
      </c>
      <c r="H71" t="s">
        <v>29</v>
      </c>
      <c r="I71" t="s">
        <v>29</v>
      </c>
      <c r="J71" t="s">
        <v>93</v>
      </c>
      <c r="K71" s="13">
        <v>44206</v>
      </c>
      <c r="L71" t="s">
        <v>91</v>
      </c>
      <c r="M71" t="str">
        <f t="shared" si="4"/>
        <v>April</v>
      </c>
      <c r="N71">
        <f t="shared" si="5"/>
        <v>2020</v>
      </c>
    </row>
    <row r="72" spans="1:14" x14ac:dyDescent="0.25">
      <c r="A72">
        <v>70</v>
      </c>
      <c r="B72" s="52">
        <v>43943</v>
      </c>
      <c r="C72" s="34">
        <v>350</v>
      </c>
      <c r="D72" t="s">
        <v>161</v>
      </c>
      <c r="E72" t="s">
        <v>28</v>
      </c>
      <c r="F72" t="s">
        <v>51</v>
      </c>
      <c r="H72" t="s">
        <v>29</v>
      </c>
      <c r="I72" t="s">
        <v>29</v>
      </c>
      <c r="J72" t="s">
        <v>93</v>
      </c>
      <c r="K72" s="13">
        <v>44206</v>
      </c>
      <c r="L72" t="s">
        <v>91</v>
      </c>
      <c r="M72" t="str">
        <f t="shared" si="4"/>
        <v>April</v>
      </c>
      <c r="N72">
        <f t="shared" si="5"/>
        <v>2020</v>
      </c>
    </row>
    <row r="73" spans="1:14" x14ac:dyDescent="0.25">
      <c r="A73">
        <v>71</v>
      </c>
      <c r="B73" s="52">
        <v>43952</v>
      </c>
      <c r="C73" s="34">
        <v>10.59</v>
      </c>
      <c r="D73" t="s">
        <v>162</v>
      </c>
      <c r="E73" t="s">
        <v>28</v>
      </c>
      <c r="F73" t="s">
        <v>31</v>
      </c>
      <c r="H73" t="s">
        <v>29</v>
      </c>
      <c r="I73" t="s">
        <v>29</v>
      </c>
      <c r="J73" t="s">
        <v>93</v>
      </c>
      <c r="K73" s="13">
        <v>44206</v>
      </c>
      <c r="L73" t="s">
        <v>91</v>
      </c>
      <c r="M73" t="str">
        <f t="shared" si="4"/>
        <v>May</v>
      </c>
      <c r="N73">
        <f t="shared" si="5"/>
        <v>2020</v>
      </c>
    </row>
    <row r="74" spans="1:14" x14ac:dyDescent="0.25">
      <c r="A74">
        <v>72</v>
      </c>
      <c r="B74" s="52">
        <v>43955</v>
      </c>
      <c r="C74" s="34">
        <v>77.05</v>
      </c>
      <c r="D74" t="s">
        <v>163</v>
      </c>
      <c r="E74" t="s">
        <v>28</v>
      </c>
      <c r="F74" t="s">
        <v>32</v>
      </c>
      <c r="H74" t="s">
        <v>29</v>
      </c>
      <c r="I74" t="s">
        <v>29</v>
      </c>
      <c r="J74" t="s">
        <v>93</v>
      </c>
      <c r="K74" s="13">
        <v>44206</v>
      </c>
      <c r="L74" t="s">
        <v>91</v>
      </c>
      <c r="M74" t="str">
        <f t="shared" si="4"/>
        <v>May</v>
      </c>
      <c r="N74">
        <f t="shared" si="5"/>
        <v>2020</v>
      </c>
    </row>
    <row r="75" spans="1:14" x14ac:dyDescent="0.25">
      <c r="A75">
        <v>73</v>
      </c>
      <c r="B75" s="52">
        <v>43957</v>
      </c>
      <c r="C75" s="34">
        <v>35</v>
      </c>
      <c r="D75" t="s">
        <v>164</v>
      </c>
      <c r="E75" t="s">
        <v>28</v>
      </c>
      <c r="F75" t="s">
        <v>55</v>
      </c>
      <c r="H75" t="s">
        <v>29</v>
      </c>
      <c r="I75" t="s">
        <v>29</v>
      </c>
      <c r="J75" t="s">
        <v>93</v>
      </c>
      <c r="K75" s="13">
        <v>44206</v>
      </c>
      <c r="L75" t="s">
        <v>91</v>
      </c>
      <c r="M75" t="str">
        <f t="shared" si="4"/>
        <v>May</v>
      </c>
      <c r="N75">
        <f t="shared" si="5"/>
        <v>2020</v>
      </c>
    </row>
    <row r="76" spans="1:14" x14ac:dyDescent="0.25">
      <c r="A76">
        <v>74</v>
      </c>
      <c r="B76" s="52">
        <v>43965</v>
      </c>
      <c r="C76" s="34">
        <v>35</v>
      </c>
      <c r="D76" t="s">
        <v>165</v>
      </c>
      <c r="E76" t="s">
        <v>28</v>
      </c>
      <c r="F76" t="s">
        <v>56</v>
      </c>
      <c r="H76" t="s">
        <v>29</v>
      </c>
      <c r="I76" t="s">
        <v>29</v>
      </c>
      <c r="J76" t="s">
        <v>93</v>
      </c>
      <c r="K76" s="13">
        <v>44206</v>
      </c>
      <c r="L76" t="s">
        <v>91</v>
      </c>
      <c r="M76" t="str">
        <f t="shared" si="4"/>
        <v>May</v>
      </c>
      <c r="N76">
        <f t="shared" si="5"/>
        <v>2020</v>
      </c>
    </row>
    <row r="77" spans="1:14" x14ac:dyDescent="0.25">
      <c r="A77">
        <v>75</v>
      </c>
      <c r="B77" s="52">
        <v>43969</v>
      </c>
      <c r="C77" s="34">
        <v>23.09</v>
      </c>
      <c r="D77" t="s">
        <v>166</v>
      </c>
      <c r="E77" t="s">
        <v>28</v>
      </c>
      <c r="F77" t="s">
        <v>53</v>
      </c>
      <c r="H77" t="s">
        <v>29</v>
      </c>
      <c r="I77" t="s">
        <v>29</v>
      </c>
      <c r="J77" t="s">
        <v>93</v>
      </c>
      <c r="K77" s="13">
        <v>44206</v>
      </c>
      <c r="L77" t="s">
        <v>91</v>
      </c>
      <c r="M77" t="str">
        <f t="shared" si="4"/>
        <v>May</v>
      </c>
      <c r="N77">
        <f t="shared" si="5"/>
        <v>2020</v>
      </c>
    </row>
    <row r="78" spans="1:14" x14ac:dyDescent="0.25">
      <c r="A78">
        <v>76</v>
      </c>
      <c r="B78" s="52">
        <v>43970</v>
      </c>
      <c r="C78" s="34">
        <v>5</v>
      </c>
      <c r="D78" t="s">
        <v>167</v>
      </c>
      <c r="E78" t="s">
        <v>28</v>
      </c>
      <c r="F78" t="s">
        <v>521</v>
      </c>
      <c r="H78" t="s">
        <v>29</v>
      </c>
      <c r="I78" t="s">
        <v>29</v>
      </c>
      <c r="J78" t="s">
        <v>93</v>
      </c>
      <c r="K78" s="13">
        <v>44206</v>
      </c>
      <c r="L78" t="s">
        <v>91</v>
      </c>
      <c r="M78" t="str">
        <f t="shared" si="4"/>
        <v>May</v>
      </c>
      <c r="N78">
        <f t="shared" si="5"/>
        <v>2020</v>
      </c>
    </row>
    <row r="79" spans="1:14" x14ac:dyDescent="0.25">
      <c r="A79">
        <v>77</v>
      </c>
      <c r="B79" s="52">
        <v>43972</v>
      </c>
      <c r="C79" s="34">
        <v>0.99</v>
      </c>
      <c r="D79" t="s">
        <v>168</v>
      </c>
      <c r="E79" t="s">
        <v>28</v>
      </c>
      <c r="F79" t="s">
        <v>516</v>
      </c>
      <c r="H79" t="s">
        <v>29</v>
      </c>
      <c r="I79" t="s">
        <v>29</v>
      </c>
      <c r="J79" t="s">
        <v>93</v>
      </c>
      <c r="K79" s="13">
        <v>44206</v>
      </c>
      <c r="L79" t="s">
        <v>91</v>
      </c>
      <c r="M79" t="str">
        <f t="shared" si="4"/>
        <v>May</v>
      </c>
      <c r="N79">
        <f t="shared" si="5"/>
        <v>2020</v>
      </c>
    </row>
    <row r="80" spans="1:14" x14ac:dyDescent="0.25">
      <c r="A80">
        <v>78</v>
      </c>
      <c r="B80" s="52">
        <v>43983</v>
      </c>
      <c r="C80" s="34">
        <v>10.59</v>
      </c>
      <c r="D80" t="s">
        <v>169</v>
      </c>
      <c r="E80" t="s">
        <v>28</v>
      </c>
      <c r="F80" t="s">
        <v>31</v>
      </c>
      <c r="H80" t="s">
        <v>29</v>
      </c>
      <c r="I80" t="s">
        <v>29</v>
      </c>
      <c r="J80" t="s">
        <v>93</v>
      </c>
      <c r="K80" s="13">
        <v>44206</v>
      </c>
      <c r="L80" t="s">
        <v>91</v>
      </c>
      <c r="M80" t="str">
        <f t="shared" si="4"/>
        <v>June</v>
      </c>
      <c r="N80">
        <f t="shared" si="5"/>
        <v>2020</v>
      </c>
    </row>
    <row r="81" spans="1:14" x14ac:dyDescent="0.25">
      <c r="A81">
        <v>79</v>
      </c>
      <c r="B81" s="52">
        <v>43983</v>
      </c>
      <c r="C81" s="34">
        <v>22.16</v>
      </c>
      <c r="D81" t="s">
        <v>170</v>
      </c>
      <c r="E81" t="s">
        <v>28</v>
      </c>
      <c r="F81" t="s">
        <v>53</v>
      </c>
      <c r="G81" t="s">
        <v>514</v>
      </c>
      <c r="H81" t="s">
        <v>29</v>
      </c>
      <c r="I81" t="s">
        <v>29</v>
      </c>
      <c r="J81" t="s">
        <v>93</v>
      </c>
      <c r="K81" s="13">
        <v>44206</v>
      </c>
      <c r="L81" t="s">
        <v>91</v>
      </c>
      <c r="M81" t="str">
        <f t="shared" si="4"/>
        <v>June</v>
      </c>
      <c r="N81">
        <f t="shared" si="5"/>
        <v>2020</v>
      </c>
    </row>
    <row r="82" spans="1:14" x14ac:dyDescent="0.25">
      <c r="A82">
        <v>80</v>
      </c>
      <c r="B82" s="52">
        <v>43984</v>
      </c>
      <c r="C82" s="34">
        <v>10.59</v>
      </c>
      <c r="D82" t="s">
        <v>171</v>
      </c>
      <c r="E82" t="s">
        <v>28</v>
      </c>
      <c r="F82" t="s">
        <v>515</v>
      </c>
      <c r="H82" t="s">
        <v>29</v>
      </c>
      <c r="I82" t="s">
        <v>29</v>
      </c>
      <c r="J82" t="s">
        <v>93</v>
      </c>
      <c r="K82" s="13">
        <v>44206</v>
      </c>
      <c r="L82" t="s">
        <v>91</v>
      </c>
      <c r="M82" t="str">
        <f t="shared" si="4"/>
        <v>June</v>
      </c>
      <c r="N82">
        <f t="shared" si="5"/>
        <v>2020</v>
      </c>
    </row>
    <row r="83" spans="1:14" x14ac:dyDescent="0.25">
      <c r="A83">
        <v>81</v>
      </c>
      <c r="B83" s="52">
        <v>43990</v>
      </c>
      <c r="C83" s="34">
        <v>35</v>
      </c>
      <c r="D83" t="s">
        <v>172</v>
      </c>
      <c r="E83" t="s">
        <v>28</v>
      </c>
      <c r="F83" t="s">
        <v>56</v>
      </c>
      <c r="H83" t="s">
        <v>29</v>
      </c>
      <c r="I83" t="s">
        <v>29</v>
      </c>
      <c r="J83" t="s">
        <v>93</v>
      </c>
      <c r="K83" s="13">
        <v>44206</v>
      </c>
      <c r="L83" t="s">
        <v>91</v>
      </c>
      <c r="M83" t="str">
        <f t="shared" si="4"/>
        <v>June</v>
      </c>
      <c r="N83">
        <f t="shared" si="5"/>
        <v>2020</v>
      </c>
    </row>
    <row r="84" spans="1:14" x14ac:dyDescent="0.25">
      <c r="A84">
        <v>82</v>
      </c>
      <c r="B84" s="52">
        <v>43991</v>
      </c>
      <c r="C84" s="34">
        <v>28.34</v>
      </c>
      <c r="D84" t="s">
        <v>173</v>
      </c>
      <c r="E84" t="s">
        <v>28</v>
      </c>
      <c r="F84" t="s">
        <v>53</v>
      </c>
      <c r="G84" t="s">
        <v>514</v>
      </c>
      <c r="H84" t="s">
        <v>29</v>
      </c>
      <c r="I84" t="s">
        <v>29</v>
      </c>
      <c r="J84" t="s">
        <v>93</v>
      </c>
      <c r="K84" s="13">
        <v>44206</v>
      </c>
      <c r="L84" t="s">
        <v>91</v>
      </c>
      <c r="M84" t="str">
        <f t="shared" si="4"/>
        <v>June</v>
      </c>
      <c r="N84">
        <f t="shared" si="5"/>
        <v>2020</v>
      </c>
    </row>
    <row r="85" spans="1:14" x14ac:dyDescent="0.25">
      <c r="A85">
        <v>83</v>
      </c>
      <c r="B85" s="52">
        <v>44004</v>
      </c>
      <c r="C85" s="34">
        <v>35</v>
      </c>
      <c r="D85" t="s">
        <v>174</v>
      </c>
      <c r="E85" t="s">
        <v>28</v>
      </c>
      <c r="F85" t="s">
        <v>55</v>
      </c>
      <c r="H85" t="s">
        <v>29</v>
      </c>
      <c r="I85" t="s">
        <v>29</v>
      </c>
      <c r="J85" t="s">
        <v>93</v>
      </c>
      <c r="K85" s="13">
        <v>44206</v>
      </c>
      <c r="L85" t="s">
        <v>91</v>
      </c>
      <c r="M85" t="str">
        <f t="shared" si="4"/>
        <v>June</v>
      </c>
      <c r="N85">
        <f t="shared" si="5"/>
        <v>2020</v>
      </c>
    </row>
    <row r="86" spans="1:14" x14ac:dyDescent="0.25">
      <c r="A86">
        <v>84</v>
      </c>
      <c r="B86" s="52">
        <v>44004</v>
      </c>
      <c r="C86" s="34">
        <v>0.99</v>
      </c>
      <c r="D86" t="s">
        <v>175</v>
      </c>
      <c r="E86" t="s">
        <v>28</v>
      </c>
      <c r="F86" t="s">
        <v>516</v>
      </c>
      <c r="H86" t="s">
        <v>29</v>
      </c>
      <c r="I86" t="s">
        <v>29</v>
      </c>
      <c r="J86" t="s">
        <v>93</v>
      </c>
      <c r="K86" s="13">
        <v>44206</v>
      </c>
      <c r="L86" t="s">
        <v>91</v>
      </c>
      <c r="M86" t="str">
        <f t="shared" si="4"/>
        <v>June</v>
      </c>
      <c r="N86">
        <f t="shared" si="5"/>
        <v>2020</v>
      </c>
    </row>
    <row r="87" spans="1:14" x14ac:dyDescent="0.25">
      <c r="A87">
        <v>85</v>
      </c>
      <c r="B87" s="52">
        <v>44004</v>
      </c>
      <c r="C87" s="34">
        <v>150</v>
      </c>
      <c r="D87" t="s">
        <v>176</v>
      </c>
      <c r="E87" t="s">
        <v>28</v>
      </c>
      <c r="F87" t="s">
        <v>51</v>
      </c>
      <c r="H87" t="s">
        <v>29</v>
      </c>
      <c r="I87" t="s">
        <v>29</v>
      </c>
      <c r="J87" t="s">
        <v>93</v>
      </c>
      <c r="K87" s="13">
        <v>44206</v>
      </c>
      <c r="L87" t="s">
        <v>91</v>
      </c>
      <c r="M87" t="str">
        <f t="shared" si="4"/>
        <v>June</v>
      </c>
      <c r="N87">
        <f t="shared" si="5"/>
        <v>2020</v>
      </c>
    </row>
    <row r="88" spans="1:14" x14ac:dyDescent="0.25">
      <c r="A88">
        <v>86</v>
      </c>
      <c r="B88" s="52">
        <v>44011</v>
      </c>
      <c r="C88" s="34">
        <v>25</v>
      </c>
      <c r="D88" t="s">
        <v>177</v>
      </c>
      <c r="E88" t="s">
        <v>28</v>
      </c>
      <c r="F88" t="s">
        <v>53</v>
      </c>
      <c r="H88" t="s">
        <v>29</v>
      </c>
      <c r="I88" t="s">
        <v>29</v>
      </c>
      <c r="J88" t="s">
        <v>93</v>
      </c>
      <c r="K88" s="13">
        <v>44206</v>
      </c>
      <c r="L88" t="s">
        <v>91</v>
      </c>
      <c r="M88" t="str">
        <f t="shared" si="4"/>
        <v>June</v>
      </c>
      <c r="N88">
        <f t="shared" si="5"/>
        <v>2020</v>
      </c>
    </row>
    <row r="89" spans="1:14" x14ac:dyDescent="0.25">
      <c r="A89">
        <v>87</v>
      </c>
      <c r="B89" s="52">
        <v>44013</v>
      </c>
      <c r="C89" s="34">
        <v>10.59</v>
      </c>
      <c r="D89" t="s">
        <v>178</v>
      </c>
      <c r="E89" t="s">
        <v>28</v>
      </c>
      <c r="F89" t="s">
        <v>31</v>
      </c>
      <c r="H89" t="s">
        <v>29</v>
      </c>
      <c r="I89" t="s">
        <v>29</v>
      </c>
      <c r="J89" t="s">
        <v>93</v>
      </c>
      <c r="K89" s="13">
        <v>44206</v>
      </c>
      <c r="L89" t="s">
        <v>91</v>
      </c>
      <c r="M89" t="str">
        <f t="shared" si="4"/>
        <v>July</v>
      </c>
      <c r="N89">
        <f t="shared" si="5"/>
        <v>2020</v>
      </c>
    </row>
    <row r="90" spans="1:14" x14ac:dyDescent="0.25">
      <c r="A90">
        <v>88</v>
      </c>
      <c r="B90" s="52">
        <v>44013</v>
      </c>
      <c r="C90" s="34">
        <v>58.8</v>
      </c>
      <c r="D90" t="s">
        <v>179</v>
      </c>
      <c r="E90" t="s">
        <v>28</v>
      </c>
      <c r="F90" t="s">
        <v>54</v>
      </c>
      <c r="H90" t="s">
        <v>29</v>
      </c>
      <c r="I90" t="s">
        <v>29</v>
      </c>
      <c r="J90" t="s">
        <v>93</v>
      </c>
      <c r="K90" s="13">
        <v>44206</v>
      </c>
      <c r="L90" t="s">
        <v>91</v>
      </c>
      <c r="M90" t="str">
        <f t="shared" si="4"/>
        <v>July</v>
      </c>
      <c r="N90">
        <f t="shared" si="5"/>
        <v>2020</v>
      </c>
    </row>
    <row r="91" spans="1:14" x14ac:dyDescent="0.25">
      <c r="A91">
        <v>89</v>
      </c>
      <c r="B91" s="52">
        <v>44014</v>
      </c>
      <c r="C91" s="34">
        <v>28.62</v>
      </c>
      <c r="D91" t="s">
        <v>180</v>
      </c>
      <c r="E91" t="s">
        <v>28</v>
      </c>
      <c r="F91" t="s">
        <v>53</v>
      </c>
      <c r="G91" t="s">
        <v>514</v>
      </c>
      <c r="H91" t="s">
        <v>29</v>
      </c>
      <c r="I91" t="s">
        <v>29</v>
      </c>
      <c r="J91" t="s">
        <v>93</v>
      </c>
      <c r="K91" s="13">
        <v>44206</v>
      </c>
      <c r="L91" t="s">
        <v>91</v>
      </c>
      <c r="M91" t="str">
        <f t="shared" si="4"/>
        <v>July</v>
      </c>
      <c r="N91">
        <f t="shared" si="5"/>
        <v>2020</v>
      </c>
    </row>
    <row r="92" spans="1:14" x14ac:dyDescent="0.25">
      <c r="A92">
        <v>90</v>
      </c>
      <c r="B92" s="52">
        <v>44015</v>
      </c>
      <c r="C92" s="34">
        <v>10.59</v>
      </c>
      <c r="D92" t="s">
        <v>181</v>
      </c>
      <c r="E92" t="s">
        <v>28</v>
      </c>
      <c r="F92" t="s">
        <v>515</v>
      </c>
      <c r="H92" t="s">
        <v>29</v>
      </c>
      <c r="I92" t="s">
        <v>29</v>
      </c>
      <c r="J92" t="s">
        <v>93</v>
      </c>
      <c r="K92" s="13">
        <v>44206</v>
      </c>
      <c r="L92" t="s">
        <v>91</v>
      </c>
      <c r="M92" t="str">
        <f t="shared" si="4"/>
        <v>July</v>
      </c>
      <c r="N92">
        <f t="shared" si="5"/>
        <v>2020</v>
      </c>
    </row>
    <row r="93" spans="1:14" x14ac:dyDescent="0.25">
      <c r="A93">
        <v>91</v>
      </c>
      <c r="B93" s="52">
        <v>44029</v>
      </c>
      <c r="C93" s="34">
        <v>35</v>
      </c>
      <c r="D93" t="s">
        <v>182</v>
      </c>
      <c r="E93" t="s">
        <v>28</v>
      </c>
      <c r="F93" t="s">
        <v>55</v>
      </c>
      <c r="H93" t="s">
        <v>29</v>
      </c>
      <c r="I93" t="s">
        <v>29</v>
      </c>
      <c r="J93" t="s">
        <v>93</v>
      </c>
      <c r="K93" s="13">
        <v>44206</v>
      </c>
      <c r="L93" t="s">
        <v>91</v>
      </c>
      <c r="M93" t="str">
        <f t="shared" si="4"/>
        <v>July</v>
      </c>
      <c r="N93">
        <f t="shared" si="5"/>
        <v>2020</v>
      </c>
    </row>
    <row r="94" spans="1:14" x14ac:dyDescent="0.25">
      <c r="A94">
        <v>92</v>
      </c>
      <c r="B94" s="52">
        <v>44029</v>
      </c>
      <c r="C94" s="34">
        <v>35</v>
      </c>
      <c r="D94" t="s">
        <v>183</v>
      </c>
      <c r="E94" t="s">
        <v>28</v>
      </c>
      <c r="F94" t="s">
        <v>55</v>
      </c>
      <c r="H94" t="s">
        <v>29</v>
      </c>
      <c r="I94" t="s">
        <v>29</v>
      </c>
      <c r="J94" t="s">
        <v>93</v>
      </c>
      <c r="K94" s="13">
        <v>44206</v>
      </c>
      <c r="L94" t="s">
        <v>91</v>
      </c>
      <c r="M94" t="str">
        <f t="shared" si="4"/>
        <v>July</v>
      </c>
      <c r="N94">
        <f t="shared" si="5"/>
        <v>2020</v>
      </c>
    </row>
    <row r="95" spans="1:14" x14ac:dyDescent="0.25">
      <c r="A95">
        <v>93</v>
      </c>
      <c r="B95" s="52">
        <v>44032</v>
      </c>
      <c r="C95" s="34">
        <v>52</v>
      </c>
      <c r="D95" t="s">
        <v>184</v>
      </c>
      <c r="E95" t="s">
        <v>28</v>
      </c>
      <c r="F95" t="s">
        <v>522</v>
      </c>
      <c r="H95" t="s">
        <v>29</v>
      </c>
      <c r="I95" t="s">
        <v>29</v>
      </c>
      <c r="J95" t="s">
        <v>93</v>
      </c>
      <c r="K95" s="13">
        <v>44206</v>
      </c>
      <c r="L95" t="s">
        <v>91</v>
      </c>
      <c r="M95" t="str">
        <f t="shared" si="4"/>
        <v>July</v>
      </c>
      <c r="N95">
        <f t="shared" si="5"/>
        <v>2020</v>
      </c>
    </row>
    <row r="96" spans="1:14" x14ac:dyDescent="0.25">
      <c r="A96">
        <v>94</v>
      </c>
      <c r="B96" s="52">
        <v>44033</v>
      </c>
      <c r="C96" s="34">
        <v>0.99</v>
      </c>
      <c r="D96" t="s">
        <v>185</v>
      </c>
      <c r="E96" t="s">
        <v>28</v>
      </c>
      <c r="F96" t="s">
        <v>516</v>
      </c>
      <c r="H96" t="s">
        <v>29</v>
      </c>
      <c r="I96" t="s">
        <v>29</v>
      </c>
      <c r="J96" t="s">
        <v>93</v>
      </c>
      <c r="K96" s="13">
        <v>44206</v>
      </c>
      <c r="L96" t="s">
        <v>91</v>
      </c>
      <c r="M96" t="str">
        <f t="shared" si="4"/>
        <v>July</v>
      </c>
      <c r="N96">
        <f t="shared" si="5"/>
        <v>2020</v>
      </c>
    </row>
    <row r="97" spans="1:14" x14ac:dyDescent="0.25">
      <c r="A97">
        <v>95</v>
      </c>
      <c r="B97" s="52">
        <v>44039</v>
      </c>
      <c r="C97" s="34">
        <v>35</v>
      </c>
      <c r="D97" t="s">
        <v>186</v>
      </c>
      <c r="E97" t="s">
        <v>28</v>
      </c>
      <c r="F97" t="s">
        <v>56</v>
      </c>
      <c r="H97" t="s">
        <v>29</v>
      </c>
      <c r="I97" t="s">
        <v>29</v>
      </c>
      <c r="J97" t="s">
        <v>93</v>
      </c>
      <c r="K97" s="13">
        <v>44206</v>
      </c>
      <c r="L97" t="s">
        <v>91</v>
      </c>
      <c r="M97" t="str">
        <f t="shared" si="4"/>
        <v>July</v>
      </c>
      <c r="N97">
        <f t="shared" si="5"/>
        <v>2020</v>
      </c>
    </row>
    <row r="98" spans="1:14" x14ac:dyDescent="0.25">
      <c r="A98">
        <v>96</v>
      </c>
      <c r="B98" s="52">
        <v>44041</v>
      </c>
      <c r="C98" s="34">
        <v>10.59</v>
      </c>
      <c r="D98" t="s">
        <v>187</v>
      </c>
      <c r="E98" t="s">
        <v>28</v>
      </c>
      <c r="F98" t="s">
        <v>515</v>
      </c>
      <c r="H98" t="s">
        <v>29</v>
      </c>
      <c r="I98" t="s">
        <v>29</v>
      </c>
      <c r="J98" t="s">
        <v>93</v>
      </c>
      <c r="K98" s="13">
        <v>44206</v>
      </c>
      <c r="L98" t="s">
        <v>91</v>
      </c>
      <c r="M98" t="str">
        <f t="shared" si="4"/>
        <v>July</v>
      </c>
      <c r="N98">
        <f t="shared" si="5"/>
        <v>2020</v>
      </c>
    </row>
    <row r="99" spans="1:14" x14ac:dyDescent="0.25">
      <c r="A99">
        <v>97</v>
      </c>
      <c r="B99" s="52">
        <v>44043</v>
      </c>
      <c r="C99" s="34">
        <v>10.59</v>
      </c>
      <c r="D99" t="s">
        <v>188</v>
      </c>
      <c r="E99" t="s">
        <v>28</v>
      </c>
      <c r="F99" t="s">
        <v>31</v>
      </c>
      <c r="H99" t="s">
        <v>29</v>
      </c>
      <c r="I99" t="s">
        <v>29</v>
      </c>
      <c r="J99" t="s">
        <v>93</v>
      </c>
      <c r="K99" s="13">
        <v>44206</v>
      </c>
      <c r="L99" t="s">
        <v>91</v>
      </c>
      <c r="M99" t="str">
        <f t="shared" si="4"/>
        <v>July</v>
      </c>
      <c r="N99">
        <f t="shared" si="5"/>
        <v>2020</v>
      </c>
    </row>
    <row r="100" spans="1:14" x14ac:dyDescent="0.25">
      <c r="A100">
        <v>98</v>
      </c>
      <c r="B100" s="52">
        <v>44060</v>
      </c>
      <c r="C100" s="34">
        <v>35</v>
      </c>
      <c r="D100" t="s">
        <v>189</v>
      </c>
      <c r="E100" t="s">
        <v>28</v>
      </c>
      <c r="F100" t="s">
        <v>56</v>
      </c>
      <c r="H100" t="s">
        <v>29</v>
      </c>
      <c r="I100" t="s">
        <v>29</v>
      </c>
      <c r="J100" t="s">
        <v>93</v>
      </c>
      <c r="K100" s="13">
        <v>44206</v>
      </c>
      <c r="L100" t="s">
        <v>91</v>
      </c>
      <c r="M100" t="str">
        <f t="shared" si="4"/>
        <v>August</v>
      </c>
      <c r="N100">
        <f t="shared" si="5"/>
        <v>2020</v>
      </c>
    </row>
    <row r="101" spans="1:14" x14ac:dyDescent="0.25">
      <c r="A101">
        <v>99</v>
      </c>
      <c r="B101" s="52">
        <v>44064</v>
      </c>
      <c r="C101" s="34">
        <v>0.99</v>
      </c>
      <c r="D101" t="s">
        <v>190</v>
      </c>
      <c r="E101" t="s">
        <v>28</v>
      </c>
      <c r="F101" t="s">
        <v>516</v>
      </c>
      <c r="H101" t="s">
        <v>29</v>
      </c>
      <c r="I101" t="s">
        <v>29</v>
      </c>
      <c r="J101" t="s">
        <v>93</v>
      </c>
      <c r="K101" s="13">
        <v>44206</v>
      </c>
      <c r="L101" t="s">
        <v>91</v>
      </c>
      <c r="M101" t="str">
        <f t="shared" si="4"/>
        <v>August</v>
      </c>
      <c r="N101">
        <f t="shared" si="5"/>
        <v>2020</v>
      </c>
    </row>
    <row r="102" spans="1:14" x14ac:dyDescent="0.25">
      <c r="A102">
        <v>100</v>
      </c>
      <c r="B102" s="52">
        <v>44071</v>
      </c>
      <c r="C102" s="34">
        <v>60</v>
      </c>
      <c r="D102" t="s">
        <v>191</v>
      </c>
      <c r="E102" t="s">
        <v>28</v>
      </c>
      <c r="F102" t="s">
        <v>51</v>
      </c>
      <c r="H102" t="s">
        <v>29</v>
      </c>
      <c r="I102" t="s">
        <v>29</v>
      </c>
      <c r="J102" t="s">
        <v>93</v>
      </c>
      <c r="K102" s="13">
        <v>44206</v>
      </c>
      <c r="L102" t="s">
        <v>91</v>
      </c>
      <c r="M102" t="str">
        <f t="shared" si="4"/>
        <v>August</v>
      </c>
      <c r="N102">
        <f t="shared" si="5"/>
        <v>2020</v>
      </c>
    </row>
    <row r="103" spans="1:14" x14ac:dyDescent="0.25">
      <c r="A103">
        <v>101</v>
      </c>
      <c r="B103" s="52">
        <v>44074</v>
      </c>
      <c r="C103" s="34">
        <v>10.59</v>
      </c>
      <c r="D103" t="s">
        <v>192</v>
      </c>
      <c r="E103" t="s">
        <v>28</v>
      </c>
      <c r="F103" t="s">
        <v>515</v>
      </c>
      <c r="H103" t="s">
        <v>29</v>
      </c>
      <c r="I103" t="s">
        <v>29</v>
      </c>
      <c r="J103" t="s">
        <v>93</v>
      </c>
      <c r="K103" s="13">
        <v>44206</v>
      </c>
      <c r="L103" t="s">
        <v>91</v>
      </c>
      <c r="M103" t="str">
        <f t="shared" si="4"/>
        <v>August</v>
      </c>
      <c r="N103">
        <f t="shared" si="5"/>
        <v>2020</v>
      </c>
    </row>
    <row r="104" spans="1:14" x14ac:dyDescent="0.25">
      <c r="A104">
        <v>102</v>
      </c>
      <c r="B104" s="52">
        <v>44074</v>
      </c>
      <c r="C104" s="34">
        <v>10.59</v>
      </c>
      <c r="D104" t="s">
        <v>193</v>
      </c>
      <c r="E104" t="s">
        <v>28</v>
      </c>
      <c r="F104" t="s">
        <v>31</v>
      </c>
      <c r="H104" t="s">
        <v>29</v>
      </c>
      <c r="I104" t="s">
        <v>29</v>
      </c>
      <c r="J104" t="s">
        <v>93</v>
      </c>
      <c r="K104" s="13">
        <v>44206</v>
      </c>
      <c r="L104" t="s">
        <v>91</v>
      </c>
      <c r="M104" t="str">
        <f t="shared" si="4"/>
        <v>August</v>
      </c>
      <c r="N104">
        <f t="shared" si="5"/>
        <v>2020</v>
      </c>
    </row>
    <row r="105" spans="1:14" x14ac:dyDescent="0.25">
      <c r="A105">
        <v>103</v>
      </c>
      <c r="B105" s="52">
        <v>44083</v>
      </c>
      <c r="C105" s="34">
        <v>2.11</v>
      </c>
      <c r="D105" t="s">
        <v>194</v>
      </c>
      <c r="E105" t="s">
        <v>28</v>
      </c>
      <c r="F105" t="s">
        <v>522</v>
      </c>
      <c r="H105" t="s">
        <v>29</v>
      </c>
      <c r="I105" t="s">
        <v>29</v>
      </c>
      <c r="J105" t="s">
        <v>93</v>
      </c>
      <c r="K105" s="13">
        <v>44206</v>
      </c>
      <c r="L105" t="s">
        <v>91</v>
      </c>
      <c r="M105" t="str">
        <f t="shared" si="4"/>
        <v>September</v>
      </c>
      <c r="N105">
        <f t="shared" si="5"/>
        <v>2020</v>
      </c>
    </row>
    <row r="106" spans="1:14" x14ac:dyDescent="0.25">
      <c r="A106">
        <v>104</v>
      </c>
      <c r="B106" s="52">
        <v>44096</v>
      </c>
      <c r="C106" s="34">
        <v>0.99</v>
      </c>
      <c r="D106" t="s">
        <v>195</v>
      </c>
      <c r="E106" t="s">
        <v>28</v>
      </c>
      <c r="F106" t="s">
        <v>516</v>
      </c>
      <c r="H106" t="s">
        <v>29</v>
      </c>
      <c r="I106" t="s">
        <v>29</v>
      </c>
      <c r="J106" t="s">
        <v>93</v>
      </c>
      <c r="K106" s="13">
        <v>44206</v>
      </c>
      <c r="L106" t="s">
        <v>91</v>
      </c>
      <c r="M106" t="str">
        <f t="shared" si="4"/>
        <v>September</v>
      </c>
      <c r="N106">
        <f t="shared" si="5"/>
        <v>2020</v>
      </c>
    </row>
    <row r="107" spans="1:14" x14ac:dyDescent="0.25">
      <c r="A107">
        <v>105</v>
      </c>
      <c r="B107" s="52">
        <v>44096</v>
      </c>
      <c r="C107" s="34">
        <v>79.47</v>
      </c>
      <c r="D107" t="s">
        <v>196</v>
      </c>
      <c r="E107" t="s">
        <v>28</v>
      </c>
      <c r="F107" t="s">
        <v>55</v>
      </c>
      <c r="H107" t="s">
        <v>29</v>
      </c>
      <c r="I107" t="s">
        <v>29</v>
      </c>
      <c r="J107" t="s">
        <v>93</v>
      </c>
      <c r="K107" s="13">
        <v>44206</v>
      </c>
      <c r="L107" t="s">
        <v>91</v>
      </c>
      <c r="M107" t="str">
        <f t="shared" si="4"/>
        <v>September</v>
      </c>
      <c r="N107">
        <f t="shared" si="5"/>
        <v>2020</v>
      </c>
    </row>
    <row r="108" spans="1:14" x14ac:dyDescent="0.25">
      <c r="A108">
        <v>106</v>
      </c>
      <c r="B108" s="52">
        <v>44097</v>
      </c>
      <c r="C108" s="34">
        <v>26.59</v>
      </c>
      <c r="D108" t="s">
        <v>197</v>
      </c>
      <c r="E108" t="s">
        <v>28</v>
      </c>
      <c r="F108" t="s">
        <v>53</v>
      </c>
      <c r="G108" t="s">
        <v>514</v>
      </c>
      <c r="H108" t="s">
        <v>29</v>
      </c>
      <c r="I108" t="s">
        <v>29</v>
      </c>
      <c r="J108" t="s">
        <v>93</v>
      </c>
      <c r="K108" s="13">
        <v>44206</v>
      </c>
      <c r="L108" t="s">
        <v>91</v>
      </c>
      <c r="M108" t="str">
        <f t="shared" si="4"/>
        <v>September</v>
      </c>
      <c r="N108">
        <f t="shared" si="5"/>
        <v>2020</v>
      </c>
    </row>
    <row r="109" spans="1:14" x14ac:dyDescent="0.25">
      <c r="A109">
        <v>107</v>
      </c>
      <c r="B109" s="52">
        <v>44102</v>
      </c>
      <c r="C109" s="34">
        <v>10</v>
      </c>
      <c r="D109" t="s">
        <v>198</v>
      </c>
      <c r="E109" t="s">
        <v>28</v>
      </c>
      <c r="F109" t="s">
        <v>55</v>
      </c>
      <c r="H109" t="s">
        <v>29</v>
      </c>
      <c r="I109" t="s">
        <v>29</v>
      </c>
      <c r="J109" t="s">
        <v>93</v>
      </c>
      <c r="K109" s="13">
        <v>44206</v>
      </c>
      <c r="L109" t="s">
        <v>91</v>
      </c>
      <c r="M109" t="str">
        <f t="shared" si="4"/>
        <v>September</v>
      </c>
      <c r="N109">
        <f t="shared" si="5"/>
        <v>2020</v>
      </c>
    </row>
    <row r="110" spans="1:14" x14ac:dyDescent="0.25">
      <c r="A110">
        <v>108</v>
      </c>
      <c r="B110" s="52">
        <v>44103</v>
      </c>
      <c r="C110" s="34">
        <v>10.59</v>
      </c>
      <c r="D110" t="s">
        <v>199</v>
      </c>
      <c r="E110" t="s">
        <v>28</v>
      </c>
      <c r="F110" t="s">
        <v>515</v>
      </c>
      <c r="H110" t="s">
        <v>29</v>
      </c>
      <c r="I110" t="s">
        <v>29</v>
      </c>
      <c r="J110" t="s">
        <v>93</v>
      </c>
      <c r="K110" s="13">
        <v>44206</v>
      </c>
      <c r="L110" t="s">
        <v>91</v>
      </c>
      <c r="M110" t="str">
        <f t="shared" si="4"/>
        <v>September</v>
      </c>
      <c r="N110">
        <f t="shared" si="5"/>
        <v>2020</v>
      </c>
    </row>
    <row r="111" spans="1:14" x14ac:dyDescent="0.25">
      <c r="A111">
        <v>109</v>
      </c>
      <c r="B111" s="52">
        <v>44105</v>
      </c>
      <c r="C111" s="34">
        <v>10.59</v>
      </c>
      <c r="D111" t="s">
        <v>200</v>
      </c>
      <c r="E111" t="s">
        <v>28</v>
      </c>
      <c r="F111" t="s">
        <v>31</v>
      </c>
      <c r="H111" t="s">
        <v>29</v>
      </c>
      <c r="I111" t="s">
        <v>29</v>
      </c>
      <c r="J111" t="s">
        <v>93</v>
      </c>
      <c r="K111" s="13">
        <v>44206</v>
      </c>
      <c r="L111" t="s">
        <v>91</v>
      </c>
      <c r="M111" t="str">
        <f t="shared" si="4"/>
        <v>October</v>
      </c>
      <c r="N111">
        <f t="shared" si="5"/>
        <v>2020</v>
      </c>
    </row>
    <row r="112" spans="1:14" x14ac:dyDescent="0.25">
      <c r="A112">
        <v>110</v>
      </c>
      <c r="B112" s="52">
        <v>44110</v>
      </c>
      <c r="C112" s="34">
        <v>35</v>
      </c>
      <c r="D112" t="s">
        <v>201</v>
      </c>
      <c r="E112" t="s">
        <v>28</v>
      </c>
      <c r="F112" t="s">
        <v>55</v>
      </c>
      <c r="H112" t="s">
        <v>29</v>
      </c>
      <c r="I112" t="s">
        <v>29</v>
      </c>
      <c r="J112" t="s">
        <v>93</v>
      </c>
      <c r="K112" s="13">
        <v>44206</v>
      </c>
      <c r="L112" t="s">
        <v>91</v>
      </c>
      <c r="M112" t="str">
        <f t="shared" si="4"/>
        <v>October</v>
      </c>
      <c r="N112">
        <f t="shared" si="5"/>
        <v>2020</v>
      </c>
    </row>
    <row r="113" spans="1:14" x14ac:dyDescent="0.25">
      <c r="A113">
        <v>111</v>
      </c>
      <c r="B113" s="52">
        <v>44117</v>
      </c>
      <c r="C113" s="34">
        <v>31.33</v>
      </c>
      <c r="D113" t="s">
        <v>202</v>
      </c>
      <c r="E113" t="s">
        <v>28</v>
      </c>
      <c r="F113" t="s">
        <v>53</v>
      </c>
      <c r="G113" t="s">
        <v>514</v>
      </c>
      <c r="H113" t="s">
        <v>29</v>
      </c>
      <c r="I113" t="s">
        <v>29</v>
      </c>
      <c r="J113" t="s">
        <v>93</v>
      </c>
      <c r="K113" s="13">
        <v>44206</v>
      </c>
      <c r="L113" t="s">
        <v>91</v>
      </c>
      <c r="M113" t="str">
        <f t="shared" si="4"/>
        <v>October</v>
      </c>
      <c r="N113">
        <f t="shared" si="5"/>
        <v>2020</v>
      </c>
    </row>
    <row r="114" spans="1:14" x14ac:dyDescent="0.25">
      <c r="A114">
        <v>112</v>
      </c>
      <c r="B114" s="52">
        <v>44125</v>
      </c>
      <c r="C114" s="34">
        <v>0.99</v>
      </c>
      <c r="D114" t="s">
        <v>203</v>
      </c>
      <c r="E114" t="s">
        <v>28</v>
      </c>
      <c r="F114" t="s">
        <v>516</v>
      </c>
      <c r="H114" t="s">
        <v>29</v>
      </c>
      <c r="I114" t="s">
        <v>29</v>
      </c>
      <c r="J114" t="s">
        <v>93</v>
      </c>
      <c r="K114" s="13">
        <v>44206</v>
      </c>
      <c r="L114" t="s">
        <v>91</v>
      </c>
      <c r="M114" t="str">
        <f t="shared" si="4"/>
        <v>October</v>
      </c>
      <c r="N114">
        <f t="shared" si="5"/>
        <v>2020</v>
      </c>
    </row>
    <row r="115" spans="1:14" x14ac:dyDescent="0.25">
      <c r="A115">
        <v>113</v>
      </c>
      <c r="B115" s="52">
        <v>44133</v>
      </c>
      <c r="C115" s="34">
        <v>10.59</v>
      </c>
      <c r="D115" t="s">
        <v>204</v>
      </c>
      <c r="E115" t="s">
        <v>28</v>
      </c>
      <c r="F115" t="s">
        <v>515</v>
      </c>
      <c r="H115" t="s">
        <v>29</v>
      </c>
      <c r="I115" t="s">
        <v>29</v>
      </c>
      <c r="J115" t="s">
        <v>93</v>
      </c>
      <c r="K115" s="13">
        <v>44206</v>
      </c>
      <c r="L115" t="s">
        <v>91</v>
      </c>
      <c r="M115" t="str">
        <f t="shared" si="4"/>
        <v>October</v>
      </c>
      <c r="N115">
        <f t="shared" si="5"/>
        <v>2020</v>
      </c>
    </row>
    <row r="116" spans="1:14" x14ac:dyDescent="0.25">
      <c r="A116">
        <v>114</v>
      </c>
      <c r="B116" s="52">
        <v>44137</v>
      </c>
      <c r="C116" s="34">
        <v>10.59</v>
      </c>
      <c r="D116" t="s">
        <v>205</v>
      </c>
      <c r="E116" t="s">
        <v>28</v>
      </c>
      <c r="F116" t="s">
        <v>31</v>
      </c>
      <c r="H116" t="s">
        <v>29</v>
      </c>
      <c r="I116" t="s">
        <v>29</v>
      </c>
      <c r="J116" t="s">
        <v>93</v>
      </c>
      <c r="K116" s="13">
        <v>44206</v>
      </c>
      <c r="L116" t="s">
        <v>91</v>
      </c>
      <c r="M116" t="str">
        <f t="shared" si="4"/>
        <v>November</v>
      </c>
      <c r="N116">
        <f t="shared" si="5"/>
        <v>2020</v>
      </c>
    </row>
    <row r="117" spans="1:14" x14ac:dyDescent="0.25">
      <c r="A117">
        <v>115</v>
      </c>
      <c r="B117" s="52">
        <v>44139</v>
      </c>
      <c r="C117" s="34">
        <v>86.49</v>
      </c>
      <c r="D117" t="s">
        <v>206</v>
      </c>
      <c r="E117" t="s">
        <v>28</v>
      </c>
      <c r="F117" t="s">
        <v>56</v>
      </c>
      <c r="H117" t="s">
        <v>29</v>
      </c>
      <c r="I117" t="s">
        <v>29</v>
      </c>
      <c r="J117" t="s">
        <v>93</v>
      </c>
      <c r="K117" s="13">
        <v>44206</v>
      </c>
      <c r="L117" t="s">
        <v>91</v>
      </c>
      <c r="M117" t="str">
        <f t="shared" si="4"/>
        <v>November</v>
      </c>
      <c r="N117">
        <f t="shared" si="5"/>
        <v>2020</v>
      </c>
    </row>
    <row r="118" spans="1:14" x14ac:dyDescent="0.25">
      <c r="A118">
        <v>116</v>
      </c>
      <c r="B118" s="52">
        <v>44144</v>
      </c>
      <c r="C118" s="34">
        <v>16.239999999999998</v>
      </c>
      <c r="D118" t="s">
        <v>207</v>
      </c>
      <c r="E118" t="s">
        <v>28</v>
      </c>
      <c r="F118" t="s">
        <v>32</v>
      </c>
      <c r="H118" t="s">
        <v>29</v>
      </c>
      <c r="I118" t="s">
        <v>29</v>
      </c>
      <c r="J118" t="s">
        <v>93</v>
      </c>
      <c r="K118" s="13">
        <v>44206</v>
      </c>
      <c r="L118" t="s">
        <v>91</v>
      </c>
      <c r="M118" t="str">
        <f t="shared" si="4"/>
        <v>November</v>
      </c>
      <c r="N118">
        <f t="shared" si="5"/>
        <v>2020</v>
      </c>
    </row>
    <row r="119" spans="1:14" x14ac:dyDescent="0.25">
      <c r="A119">
        <v>117</v>
      </c>
      <c r="B119" s="52">
        <v>44144</v>
      </c>
      <c r="C119" s="34">
        <v>31.59</v>
      </c>
      <c r="D119" t="s">
        <v>208</v>
      </c>
      <c r="E119" t="s">
        <v>28</v>
      </c>
      <c r="F119" t="s">
        <v>53</v>
      </c>
      <c r="H119" t="s">
        <v>29</v>
      </c>
      <c r="I119" t="s">
        <v>29</v>
      </c>
      <c r="J119" t="s">
        <v>93</v>
      </c>
      <c r="K119" s="13">
        <v>44206</v>
      </c>
      <c r="L119" t="s">
        <v>91</v>
      </c>
      <c r="M119" t="str">
        <f t="shared" si="4"/>
        <v>November</v>
      </c>
      <c r="N119">
        <f t="shared" si="5"/>
        <v>2020</v>
      </c>
    </row>
    <row r="120" spans="1:14" x14ac:dyDescent="0.25">
      <c r="A120">
        <v>118</v>
      </c>
      <c r="B120" s="52">
        <v>44148</v>
      </c>
      <c r="C120" s="34">
        <v>127</v>
      </c>
      <c r="D120" t="s">
        <v>209</v>
      </c>
      <c r="E120" t="s">
        <v>28</v>
      </c>
      <c r="F120" t="s">
        <v>55</v>
      </c>
      <c r="H120" t="s">
        <v>29</v>
      </c>
      <c r="I120" t="s">
        <v>29</v>
      </c>
      <c r="J120" t="s">
        <v>93</v>
      </c>
      <c r="K120" s="13">
        <v>44206</v>
      </c>
      <c r="L120" t="s">
        <v>91</v>
      </c>
      <c r="M120" t="str">
        <f t="shared" si="4"/>
        <v>November</v>
      </c>
      <c r="N120">
        <f t="shared" si="5"/>
        <v>2020</v>
      </c>
    </row>
    <row r="121" spans="1:14" x14ac:dyDescent="0.25">
      <c r="A121">
        <v>119</v>
      </c>
      <c r="B121" s="52">
        <v>44151</v>
      </c>
      <c r="C121" s="34">
        <v>35</v>
      </c>
      <c r="D121" t="s">
        <v>210</v>
      </c>
      <c r="E121" t="s">
        <v>28</v>
      </c>
      <c r="F121" t="s">
        <v>56</v>
      </c>
      <c r="H121" t="s">
        <v>29</v>
      </c>
      <c r="I121" t="s">
        <v>29</v>
      </c>
      <c r="J121" t="s">
        <v>93</v>
      </c>
      <c r="K121" s="13">
        <v>44206</v>
      </c>
      <c r="L121" t="s">
        <v>91</v>
      </c>
      <c r="M121" t="str">
        <f t="shared" si="4"/>
        <v>November</v>
      </c>
      <c r="N121">
        <f t="shared" si="5"/>
        <v>2020</v>
      </c>
    </row>
    <row r="122" spans="1:14" x14ac:dyDescent="0.25">
      <c r="A122">
        <v>120</v>
      </c>
      <c r="B122" s="52">
        <v>44151</v>
      </c>
      <c r="C122" s="34">
        <v>5.52</v>
      </c>
      <c r="D122" t="s">
        <v>211</v>
      </c>
      <c r="E122" t="s">
        <v>28</v>
      </c>
      <c r="F122" t="s">
        <v>522</v>
      </c>
      <c r="H122" t="s">
        <v>29</v>
      </c>
      <c r="I122" t="s">
        <v>29</v>
      </c>
      <c r="J122" t="s">
        <v>93</v>
      </c>
      <c r="K122" s="13">
        <v>44206</v>
      </c>
      <c r="L122" t="s">
        <v>91</v>
      </c>
      <c r="M122" t="str">
        <f t="shared" si="4"/>
        <v>November</v>
      </c>
      <c r="N122">
        <f t="shared" si="5"/>
        <v>2020</v>
      </c>
    </row>
    <row r="123" spans="1:14" x14ac:dyDescent="0.25">
      <c r="A123">
        <v>121</v>
      </c>
      <c r="B123" s="52">
        <v>44152</v>
      </c>
      <c r="C123" s="34">
        <v>40.04</v>
      </c>
      <c r="D123" t="s">
        <v>212</v>
      </c>
      <c r="E123" t="s">
        <v>28</v>
      </c>
      <c r="F123" t="s">
        <v>54</v>
      </c>
      <c r="H123" t="s">
        <v>29</v>
      </c>
      <c r="I123" t="s">
        <v>29</v>
      </c>
      <c r="J123" t="s">
        <v>93</v>
      </c>
      <c r="K123" s="13">
        <v>44206</v>
      </c>
      <c r="L123" t="s">
        <v>91</v>
      </c>
      <c r="M123" t="str">
        <f t="shared" si="4"/>
        <v>November</v>
      </c>
      <c r="N123">
        <f t="shared" si="5"/>
        <v>2020</v>
      </c>
    </row>
    <row r="124" spans="1:14" x14ac:dyDescent="0.25">
      <c r="A124">
        <v>122</v>
      </c>
      <c r="B124" s="52">
        <v>44153</v>
      </c>
      <c r="C124" s="34">
        <v>8.4600000000000009</v>
      </c>
      <c r="D124" t="s">
        <v>213</v>
      </c>
      <c r="E124" t="s">
        <v>28</v>
      </c>
      <c r="F124" t="s">
        <v>522</v>
      </c>
      <c r="H124" t="s">
        <v>29</v>
      </c>
      <c r="I124" t="s">
        <v>29</v>
      </c>
      <c r="J124" t="s">
        <v>93</v>
      </c>
      <c r="K124" s="13">
        <v>44206</v>
      </c>
      <c r="L124" t="s">
        <v>91</v>
      </c>
      <c r="M124" t="str">
        <f t="shared" si="4"/>
        <v>November</v>
      </c>
      <c r="N124">
        <f t="shared" si="5"/>
        <v>2020</v>
      </c>
    </row>
    <row r="125" spans="1:14" x14ac:dyDescent="0.25">
      <c r="A125">
        <v>123</v>
      </c>
      <c r="B125" s="52">
        <v>44158</v>
      </c>
      <c r="C125" s="34">
        <v>0.99</v>
      </c>
      <c r="D125" t="s">
        <v>214</v>
      </c>
      <c r="E125" t="s">
        <v>28</v>
      </c>
      <c r="F125" t="s">
        <v>516</v>
      </c>
      <c r="H125" t="s">
        <v>29</v>
      </c>
      <c r="I125" t="s">
        <v>29</v>
      </c>
      <c r="J125" t="s">
        <v>93</v>
      </c>
      <c r="K125" s="13">
        <v>44206</v>
      </c>
      <c r="L125" t="s">
        <v>91</v>
      </c>
      <c r="M125" t="str">
        <f t="shared" si="4"/>
        <v>November</v>
      </c>
      <c r="N125">
        <f t="shared" si="5"/>
        <v>2020</v>
      </c>
    </row>
    <row r="126" spans="1:14" x14ac:dyDescent="0.25">
      <c r="A126">
        <v>124</v>
      </c>
      <c r="B126" s="52">
        <v>44158</v>
      </c>
      <c r="C126" s="34">
        <v>31.67</v>
      </c>
      <c r="D126" t="s">
        <v>215</v>
      </c>
      <c r="E126" t="s">
        <v>28</v>
      </c>
      <c r="F126" t="s">
        <v>53</v>
      </c>
      <c r="G126" t="s">
        <v>514</v>
      </c>
      <c r="H126" t="s">
        <v>29</v>
      </c>
      <c r="I126" t="s">
        <v>29</v>
      </c>
      <c r="J126" t="s">
        <v>93</v>
      </c>
      <c r="K126" s="13">
        <v>44206</v>
      </c>
      <c r="L126" t="s">
        <v>91</v>
      </c>
      <c r="M126" t="str">
        <f t="shared" si="4"/>
        <v>November</v>
      </c>
      <c r="N126">
        <f t="shared" si="5"/>
        <v>2020</v>
      </c>
    </row>
    <row r="127" spans="1:14" x14ac:dyDescent="0.25">
      <c r="A127">
        <v>125</v>
      </c>
      <c r="B127" s="52">
        <v>44165</v>
      </c>
      <c r="C127" s="34">
        <v>10.59</v>
      </c>
      <c r="D127" t="s">
        <v>216</v>
      </c>
      <c r="E127" t="s">
        <v>28</v>
      </c>
      <c r="F127" t="s">
        <v>515</v>
      </c>
      <c r="H127" t="s">
        <v>29</v>
      </c>
      <c r="I127" t="s">
        <v>29</v>
      </c>
      <c r="J127" t="s">
        <v>93</v>
      </c>
      <c r="K127" s="13">
        <v>44206</v>
      </c>
      <c r="L127" t="s">
        <v>91</v>
      </c>
      <c r="M127" t="str">
        <f t="shared" si="4"/>
        <v>November</v>
      </c>
      <c r="N127">
        <f t="shared" si="5"/>
        <v>2020</v>
      </c>
    </row>
    <row r="128" spans="1:14" x14ac:dyDescent="0.25">
      <c r="A128">
        <v>126</v>
      </c>
      <c r="B128" s="52">
        <v>44166</v>
      </c>
      <c r="C128" s="34">
        <v>10.59</v>
      </c>
      <c r="D128" t="s">
        <v>217</v>
      </c>
      <c r="E128" t="s">
        <v>28</v>
      </c>
      <c r="F128" t="s">
        <v>31</v>
      </c>
      <c r="H128" t="s">
        <v>29</v>
      </c>
      <c r="I128" t="s">
        <v>29</v>
      </c>
      <c r="J128" t="s">
        <v>93</v>
      </c>
      <c r="K128" s="13">
        <v>44206</v>
      </c>
      <c r="L128" t="s">
        <v>91</v>
      </c>
      <c r="M128" t="str">
        <f t="shared" si="4"/>
        <v>December</v>
      </c>
      <c r="N128">
        <f t="shared" si="5"/>
        <v>2020</v>
      </c>
    </row>
    <row r="129" spans="1:14" x14ac:dyDescent="0.25">
      <c r="A129">
        <v>127</v>
      </c>
      <c r="B129" s="52">
        <v>44166</v>
      </c>
      <c r="C129" s="34">
        <v>35</v>
      </c>
      <c r="D129" t="s">
        <v>218</v>
      </c>
      <c r="E129" t="s">
        <v>28</v>
      </c>
      <c r="F129" t="s">
        <v>55</v>
      </c>
      <c r="H129" t="s">
        <v>29</v>
      </c>
      <c r="I129" t="s">
        <v>29</v>
      </c>
      <c r="J129" t="s">
        <v>93</v>
      </c>
      <c r="K129" s="13">
        <v>44206</v>
      </c>
      <c r="L129" t="s">
        <v>91</v>
      </c>
      <c r="M129" t="str">
        <f t="shared" si="4"/>
        <v>December</v>
      </c>
      <c r="N129">
        <f t="shared" si="5"/>
        <v>2020</v>
      </c>
    </row>
    <row r="130" spans="1:14" x14ac:dyDescent="0.25">
      <c r="A130">
        <v>128</v>
      </c>
      <c r="B130" s="52">
        <v>44176</v>
      </c>
      <c r="C130" s="34">
        <v>10</v>
      </c>
      <c r="D130" t="s">
        <v>219</v>
      </c>
      <c r="E130" t="s">
        <v>28</v>
      </c>
      <c r="F130" t="s">
        <v>52</v>
      </c>
      <c r="H130" t="s">
        <v>29</v>
      </c>
      <c r="I130" t="s">
        <v>29</v>
      </c>
      <c r="J130" t="s">
        <v>93</v>
      </c>
      <c r="K130" s="13">
        <v>44206</v>
      </c>
      <c r="L130" t="s">
        <v>91</v>
      </c>
      <c r="M130" t="str">
        <f t="shared" si="4"/>
        <v>December</v>
      </c>
      <c r="N130">
        <f t="shared" si="5"/>
        <v>2020</v>
      </c>
    </row>
    <row r="131" spans="1:14" x14ac:dyDescent="0.25">
      <c r="A131">
        <v>129</v>
      </c>
      <c r="B131" s="52">
        <v>44176</v>
      </c>
      <c r="C131" s="34">
        <v>60</v>
      </c>
      <c r="D131" t="s">
        <v>219</v>
      </c>
      <c r="E131" t="s">
        <v>28</v>
      </c>
      <c r="F131" t="s">
        <v>52</v>
      </c>
      <c r="H131" t="s">
        <v>29</v>
      </c>
      <c r="I131" t="s">
        <v>29</v>
      </c>
      <c r="J131" t="s">
        <v>93</v>
      </c>
      <c r="K131" s="13">
        <v>44206</v>
      </c>
      <c r="L131" t="s">
        <v>91</v>
      </c>
      <c r="M131" t="str">
        <f t="shared" ref="M131:M194" si="6">TEXT(B131,"mmmm")</f>
        <v>December</v>
      </c>
      <c r="N131">
        <f t="shared" ref="N131:N194" si="7">YEAR(B131)</f>
        <v>2020</v>
      </c>
    </row>
    <row r="132" spans="1:14" x14ac:dyDescent="0.25">
      <c r="A132">
        <v>130</v>
      </c>
      <c r="B132" s="52">
        <v>44186</v>
      </c>
      <c r="C132" s="34">
        <v>0.99</v>
      </c>
      <c r="D132" t="s">
        <v>220</v>
      </c>
      <c r="E132" t="s">
        <v>28</v>
      </c>
      <c r="F132" t="s">
        <v>516</v>
      </c>
      <c r="H132" t="s">
        <v>29</v>
      </c>
      <c r="I132" t="s">
        <v>29</v>
      </c>
      <c r="J132" t="s">
        <v>93</v>
      </c>
      <c r="K132" s="13">
        <v>44206</v>
      </c>
      <c r="L132" t="s">
        <v>91</v>
      </c>
      <c r="M132" t="str">
        <f t="shared" si="6"/>
        <v>December</v>
      </c>
      <c r="N132">
        <f t="shared" si="7"/>
        <v>2020</v>
      </c>
    </row>
    <row r="133" spans="1:14" x14ac:dyDescent="0.25">
      <c r="A133">
        <v>131</v>
      </c>
      <c r="B133" s="52">
        <v>44188</v>
      </c>
      <c r="C133" s="34">
        <v>35</v>
      </c>
      <c r="D133" t="s">
        <v>221</v>
      </c>
      <c r="E133" t="s">
        <v>28</v>
      </c>
      <c r="F133" t="s">
        <v>56</v>
      </c>
      <c r="H133" t="s">
        <v>29</v>
      </c>
      <c r="I133" t="s">
        <v>29</v>
      </c>
      <c r="J133" t="s">
        <v>93</v>
      </c>
      <c r="K133" s="13">
        <v>44206</v>
      </c>
      <c r="L133" t="s">
        <v>91</v>
      </c>
      <c r="M133" t="str">
        <f t="shared" si="6"/>
        <v>December</v>
      </c>
      <c r="N133">
        <f t="shared" si="7"/>
        <v>2020</v>
      </c>
    </row>
    <row r="134" spans="1:14" x14ac:dyDescent="0.25">
      <c r="A134">
        <v>132</v>
      </c>
      <c r="B134" s="52">
        <v>44196</v>
      </c>
      <c r="C134" s="34">
        <v>10.59</v>
      </c>
      <c r="D134" t="s">
        <v>222</v>
      </c>
      <c r="E134" t="s">
        <v>28</v>
      </c>
      <c r="F134" t="s">
        <v>31</v>
      </c>
      <c r="H134" t="s">
        <v>29</v>
      </c>
      <c r="I134" t="s">
        <v>29</v>
      </c>
      <c r="J134" t="s">
        <v>93</v>
      </c>
      <c r="K134" s="13">
        <v>44206</v>
      </c>
      <c r="L134" t="s">
        <v>91</v>
      </c>
      <c r="M134" t="str">
        <f t="shared" si="6"/>
        <v>December</v>
      </c>
      <c r="N134">
        <f t="shared" si="7"/>
        <v>2020</v>
      </c>
    </row>
    <row r="135" spans="1:14" x14ac:dyDescent="0.25">
      <c r="A135">
        <v>133</v>
      </c>
      <c r="B135" s="52">
        <v>44191</v>
      </c>
      <c r="C135" s="2">
        <v>9.59</v>
      </c>
      <c r="D135" t="s">
        <v>41</v>
      </c>
      <c r="E135" t="s">
        <v>28</v>
      </c>
      <c r="F135" t="s">
        <v>32</v>
      </c>
      <c r="G135" t="s">
        <v>512</v>
      </c>
      <c r="H135" t="s">
        <v>29</v>
      </c>
      <c r="I135" t="s">
        <v>29</v>
      </c>
      <c r="J135" t="s">
        <v>224</v>
      </c>
      <c r="K135" s="13">
        <v>44206</v>
      </c>
      <c r="L135" t="s">
        <v>223</v>
      </c>
      <c r="M135" t="str">
        <f t="shared" si="6"/>
        <v>December</v>
      </c>
      <c r="N135">
        <f t="shared" si="7"/>
        <v>2020</v>
      </c>
    </row>
    <row r="136" spans="1:14" x14ac:dyDescent="0.25">
      <c r="A136">
        <v>134</v>
      </c>
      <c r="B136" s="52">
        <v>44189</v>
      </c>
      <c r="C136" s="2">
        <v>15.96</v>
      </c>
      <c r="D136" t="s">
        <v>225</v>
      </c>
      <c r="E136" t="s">
        <v>28</v>
      </c>
      <c r="F136" t="s">
        <v>52</v>
      </c>
      <c r="H136" t="s">
        <v>29</v>
      </c>
      <c r="I136" t="s">
        <v>29</v>
      </c>
      <c r="J136" t="s">
        <v>224</v>
      </c>
      <c r="K136" s="13">
        <v>44206</v>
      </c>
      <c r="L136" t="s">
        <v>223</v>
      </c>
      <c r="M136" t="str">
        <f t="shared" si="6"/>
        <v>December</v>
      </c>
      <c r="N136">
        <f t="shared" si="7"/>
        <v>2020</v>
      </c>
    </row>
    <row r="137" spans="1:14" x14ac:dyDescent="0.25">
      <c r="A137">
        <v>135</v>
      </c>
      <c r="B137" s="52">
        <v>44188</v>
      </c>
      <c r="C137" s="2">
        <v>105.99</v>
      </c>
      <c r="D137" t="s">
        <v>226</v>
      </c>
      <c r="E137" t="s">
        <v>28</v>
      </c>
      <c r="F137" t="s">
        <v>52</v>
      </c>
      <c r="H137" t="s">
        <v>29</v>
      </c>
      <c r="I137" t="s">
        <v>29</v>
      </c>
      <c r="J137" t="s">
        <v>224</v>
      </c>
      <c r="K137" s="13">
        <v>44206</v>
      </c>
      <c r="L137" t="s">
        <v>223</v>
      </c>
      <c r="M137" t="str">
        <f t="shared" si="6"/>
        <v>December</v>
      </c>
      <c r="N137">
        <f t="shared" si="7"/>
        <v>2020</v>
      </c>
    </row>
    <row r="138" spans="1:14" x14ac:dyDescent="0.25">
      <c r="A138">
        <v>136</v>
      </c>
      <c r="B138" s="52">
        <v>44188</v>
      </c>
      <c r="C138" s="2">
        <v>20</v>
      </c>
      <c r="D138" t="s">
        <v>227</v>
      </c>
      <c r="E138" t="s">
        <v>28</v>
      </c>
      <c r="F138" t="s">
        <v>35</v>
      </c>
      <c r="H138" t="s">
        <v>29</v>
      </c>
      <c r="I138" t="s">
        <v>29</v>
      </c>
      <c r="J138" t="s">
        <v>224</v>
      </c>
      <c r="K138" s="13">
        <v>44206</v>
      </c>
      <c r="L138" t="s">
        <v>223</v>
      </c>
      <c r="M138" t="str">
        <f t="shared" si="6"/>
        <v>December</v>
      </c>
      <c r="N138">
        <f t="shared" si="7"/>
        <v>2020</v>
      </c>
    </row>
    <row r="139" spans="1:14" x14ac:dyDescent="0.25">
      <c r="A139">
        <v>137</v>
      </c>
      <c r="B139" s="52">
        <v>44176</v>
      </c>
      <c r="C139" s="2">
        <v>25.97</v>
      </c>
      <c r="D139" t="s">
        <v>228</v>
      </c>
      <c r="E139" t="s">
        <v>28</v>
      </c>
      <c r="F139" t="s">
        <v>519</v>
      </c>
      <c r="H139" t="s">
        <v>29</v>
      </c>
      <c r="I139" t="s">
        <v>29</v>
      </c>
      <c r="J139" t="s">
        <v>224</v>
      </c>
      <c r="K139" s="13">
        <v>44206</v>
      </c>
      <c r="L139" t="s">
        <v>223</v>
      </c>
      <c r="M139" t="str">
        <f t="shared" si="6"/>
        <v>December</v>
      </c>
      <c r="N139">
        <f t="shared" si="7"/>
        <v>2020</v>
      </c>
    </row>
    <row r="140" spans="1:14" x14ac:dyDescent="0.25">
      <c r="A140">
        <v>138</v>
      </c>
      <c r="B140" s="52">
        <v>44177</v>
      </c>
      <c r="C140" s="2">
        <v>49.72</v>
      </c>
      <c r="D140" t="s">
        <v>39</v>
      </c>
      <c r="E140" t="s">
        <v>28</v>
      </c>
      <c r="F140" t="s">
        <v>32</v>
      </c>
      <c r="G140" t="s">
        <v>513</v>
      </c>
      <c r="H140" t="s">
        <v>29</v>
      </c>
      <c r="I140" t="s">
        <v>29</v>
      </c>
      <c r="J140" t="s">
        <v>224</v>
      </c>
      <c r="K140" s="13">
        <v>44206</v>
      </c>
      <c r="L140" t="s">
        <v>223</v>
      </c>
      <c r="M140" t="str">
        <f t="shared" si="6"/>
        <v>December</v>
      </c>
      <c r="N140">
        <f t="shared" si="7"/>
        <v>2020</v>
      </c>
    </row>
    <row r="141" spans="1:14" x14ac:dyDescent="0.25">
      <c r="A141">
        <v>139</v>
      </c>
      <c r="B141" s="52">
        <v>44176</v>
      </c>
      <c r="C141" s="2">
        <v>5.89</v>
      </c>
      <c r="D141" t="s">
        <v>229</v>
      </c>
      <c r="E141" t="s">
        <v>28</v>
      </c>
      <c r="F141" t="s">
        <v>50</v>
      </c>
      <c r="H141" t="s">
        <v>29</v>
      </c>
      <c r="I141" t="s">
        <v>29</v>
      </c>
      <c r="J141" t="s">
        <v>224</v>
      </c>
      <c r="K141" s="13">
        <v>44206</v>
      </c>
      <c r="L141" t="s">
        <v>223</v>
      </c>
      <c r="M141" t="str">
        <f t="shared" si="6"/>
        <v>December</v>
      </c>
      <c r="N141">
        <f t="shared" si="7"/>
        <v>2020</v>
      </c>
    </row>
    <row r="142" spans="1:14" x14ac:dyDescent="0.25">
      <c r="A142">
        <v>140</v>
      </c>
      <c r="B142" s="52">
        <v>44177</v>
      </c>
      <c r="C142" s="2">
        <v>56.18</v>
      </c>
      <c r="D142" t="s">
        <v>230</v>
      </c>
      <c r="E142" t="s">
        <v>28</v>
      </c>
      <c r="F142" t="s">
        <v>520</v>
      </c>
      <c r="H142" t="s">
        <v>29</v>
      </c>
      <c r="I142" t="s">
        <v>29</v>
      </c>
      <c r="J142" t="s">
        <v>224</v>
      </c>
      <c r="K142" s="13">
        <v>44206</v>
      </c>
      <c r="L142" t="s">
        <v>223</v>
      </c>
      <c r="M142" t="str">
        <f t="shared" si="6"/>
        <v>December</v>
      </c>
      <c r="N142">
        <f t="shared" si="7"/>
        <v>2020</v>
      </c>
    </row>
    <row r="143" spans="1:14" x14ac:dyDescent="0.25">
      <c r="A143">
        <v>141</v>
      </c>
      <c r="B143" s="52">
        <v>44175</v>
      </c>
      <c r="C143" s="2">
        <v>70.77</v>
      </c>
      <c r="D143" t="s">
        <v>231</v>
      </c>
      <c r="E143" t="s">
        <v>28</v>
      </c>
      <c r="F143" t="s">
        <v>52</v>
      </c>
      <c r="H143" t="s">
        <v>29</v>
      </c>
      <c r="I143" t="s">
        <v>29</v>
      </c>
      <c r="J143" t="s">
        <v>224</v>
      </c>
      <c r="K143" s="13">
        <v>44206</v>
      </c>
      <c r="L143" t="s">
        <v>223</v>
      </c>
      <c r="M143" t="str">
        <f t="shared" si="6"/>
        <v>December</v>
      </c>
      <c r="N143">
        <f t="shared" si="7"/>
        <v>2020</v>
      </c>
    </row>
    <row r="144" spans="1:14" x14ac:dyDescent="0.25">
      <c r="A144">
        <v>142</v>
      </c>
      <c r="B144" s="52">
        <v>44172</v>
      </c>
      <c r="C144" s="2">
        <v>25.11</v>
      </c>
      <c r="D144" t="s">
        <v>232</v>
      </c>
      <c r="E144" t="s">
        <v>28</v>
      </c>
      <c r="F144" t="s">
        <v>50</v>
      </c>
      <c r="H144" t="s">
        <v>29</v>
      </c>
      <c r="I144" t="s">
        <v>29</v>
      </c>
      <c r="J144" t="s">
        <v>224</v>
      </c>
      <c r="K144" s="13">
        <v>44206</v>
      </c>
      <c r="L144" t="s">
        <v>223</v>
      </c>
      <c r="M144" t="str">
        <f t="shared" si="6"/>
        <v>December</v>
      </c>
      <c r="N144">
        <f t="shared" si="7"/>
        <v>2020</v>
      </c>
    </row>
    <row r="145" spans="1:14" x14ac:dyDescent="0.25">
      <c r="A145">
        <v>143</v>
      </c>
      <c r="B145" s="52">
        <v>44169</v>
      </c>
      <c r="C145" s="2">
        <v>158</v>
      </c>
      <c r="D145" t="s">
        <v>233</v>
      </c>
      <c r="E145" t="s">
        <v>28</v>
      </c>
      <c r="F145" t="s">
        <v>52</v>
      </c>
      <c r="H145" t="s">
        <v>29</v>
      </c>
      <c r="I145" t="s">
        <v>29</v>
      </c>
      <c r="J145" t="s">
        <v>224</v>
      </c>
      <c r="K145" s="13">
        <v>44206</v>
      </c>
      <c r="L145" t="s">
        <v>223</v>
      </c>
      <c r="M145" t="str">
        <f t="shared" si="6"/>
        <v>December</v>
      </c>
      <c r="N145">
        <f t="shared" si="7"/>
        <v>2020</v>
      </c>
    </row>
    <row r="146" spans="1:14" x14ac:dyDescent="0.25">
      <c r="A146">
        <v>144</v>
      </c>
      <c r="B146" s="52">
        <v>44166</v>
      </c>
      <c r="C146" s="2">
        <v>123</v>
      </c>
      <c r="D146" t="s">
        <v>234</v>
      </c>
      <c r="E146" t="s">
        <v>28</v>
      </c>
      <c r="F146" t="s">
        <v>35</v>
      </c>
      <c r="H146" t="s">
        <v>29</v>
      </c>
      <c r="I146" t="s">
        <v>29</v>
      </c>
      <c r="J146" t="s">
        <v>224</v>
      </c>
      <c r="K146" s="13">
        <v>44206</v>
      </c>
      <c r="L146" t="s">
        <v>223</v>
      </c>
      <c r="M146" t="str">
        <f t="shared" si="6"/>
        <v>December</v>
      </c>
      <c r="N146">
        <f t="shared" si="7"/>
        <v>2020</v>
      </c>
    </row>
    <row r="147" spans="1:14" x14ac:dyDescent="0.25">
      <c r="A147">
        <v>145</v>
      </c>
      <c r="B147" s="52">
        <v>44166</v>
      </c>
      <c r="C147" s="2">
        <v>15.9</v>
      </c>
      <c r="D147" t="s">
        <v>235</v>
      </c>
      <c r="E147" t="s">
        <v>28</v>
      </c>
      <c r="F147" t="s">
        <v>52</v>
      </c>
      <c r="H147" t="s">
        <v>29</v>
      </c>
      <c r="I147" t="s">
        <v>29</v>
      </c>
      <c r="J147" t="s">
        <v>224</v>
      </c>
      <c r="K147" s="13">
        <v>44206</v>
      </c>
      <c r="L147" t="s">
        <v>223</v>
      </c>
      <c r="M147" t="str">
        <f t="shared" si="6"/>
        <v>December</v>
      </c>
      <c r="N147">
        <f t="shared" si="7"/>
        <v>2020</v>
      </c>
    </row>
    <row r="148" spans="1:14" x14ac:dyDescent="0.25">
      <c r="A148">
        <v>146</v>
      </c>
      <c r="B148" s="52">
        <v>44159</v>
      </c>
      <c r="C148" s="2">
        <v>20</v>
      </c>
      <c r="D148" t="s">
        <v>234</v>
      </c>
      <c r="E148" t="s">
        <v>28</v>
      </c>
      <c r="F148" t="s">
        <v>35</v>
      </c>
      <c r="H148" t="s">
        <v>29</v>
      </c>
      <c r="I148" t="s">
        <v>29</v>
      </c>
      <c r="J148" t="s">
        <v>224</v>
      </c>
      <c r="K148" s="13">
        <v>44206</v>
      </c>
      <c r="L148" t="s">
        <v>223</v>
      </c>
      <c r="M148" t="str">
        <f t="shared" si="6"/>
        <v>November</v>
      </c>
      <c r="N148">
        <f t="shared" si="7"/>
        <v>2020</v>
      </c>
    </row>
    <row r="149" spans="1:14" x14ac:dyDescent="0.25">
      <c r="A149">
        <v>147</v>
      </c>
      <c r="B149" s="52">
        <v>44149</v>
      </c>
      <c r="C149" s="2">
        <v>150</v>
      </c>
      <c r="D149" t="s">
        <v>236</v>
      </c>
      <c r="E149" t="s">
        <v>28</v>
      </c>
      <c r="F149" t="s">
        <v>35</v>
      </c>
      <c r="H149" t="s">
        <v>29</v>
      </c>
      <c r="I149" t="s">
        <v>29</v>
      </c>
      <c r="J149" t="s">
        <v>224</v>
      </c>
      <c r="K149" s="13">
        <v>44206</v>
      </c>
      <c r="L149" t="s">
        <v>223</v>
      </c>
      <c r="M149" t="str">
        <f t="shared" si="6"/>
        <v>November</v>
      </c>
      <c r="N149">
        <f t="shared" si="7"/>
        <v>2020</v>
      </c>
    </row>
    <row r="150" spans="1:14" x14ac:dyDescent="0.25">
      <c r="A150">
        <v>148</v>
      </c>
      <c r="B150" s="52">
        <v>44139</v>
      </c>
      <c r="C150" s="2">
        <v>37</v>
      </c>
      <c r="D150" t="s">
        <v>234</v>
      </c>
      <c r="E150" t="s">
        <v>28</v>
      </c>
      <c r="F150" t="s">
        <v>35</v>
      </c>
      <c r="H150" t="s">
        <v>29</v>
      </c>
      <c r="I150" t="s">
        <v>29</v>
      </c>
      <c r="J150" t="s">
        <v>224</v>
      </c>
      <c r="K150" s="13">
        <v>44206</v>
      </c>
      <c r="L150" t="s">
        <v>223</v>
      </c>
      <c r="M150" t="str">
        <f t="shared" si="6"/>
        <v>November</v>
      </c>
      <c r="N150">
        <f t="shared" si="7"/>
        <v>2020</v>
      </c>
    </row>
    <row r="151" spans="1:14" x14ac:dyDescent="0.25">
      <c r="A151">
        <v>149</v>
      </c>
      <c r="B151" s="52">
        <v>44138</v>
      </c>
      <c r="C151" s="2">
        <v>24.36</v>
      </c>
      <c r="D151" t="s">
        <v>237</v>
      </c>
      <c r="E151" t="s">
        <v>28</v>
      </c>
      <c r="F151" t="s">
        <v>519</v>
      </c>
      <c r="H151" t="s">
        <v>29</v>
      </c>
      <c r="I151" t="s">
        <v>29</v>
      </c>
      <c r="J151" t="s">
        <v>224</v>
      </c>
      <c r="K151" s="13">
        <v>44206</v>
      </c>
      <c r="L151" t="s">
        <v>223</v>
      </c>
      <c r="M151" t="str">
        <f t="shared" si="6"/>
        <v>November</v>
      </c>
      <c r="N151">
        <f t="shared" si="7"/>
        <v>2020</v>
      </c>
    </row>
    <row r="152" spans="1:14" x14ac:dyDescent="0.25">
      <c r="A152">
        <v>150</v>
      </c>
      <c r="B152" s="52">
        <v>44130</v>
      </c>
      <c r="C152" s="2">
        <v>25.26</v>
      </c>
      <c r="D152" t="s">
        <v>30</v>
      </c>
      <c r="E152" t="s">
        <v>28</v>
      </c>
      <c r="F152" t="s">
        <v>32</v>
      </c>
      <c r="H152" t="s">
        <v>29</v>
      </c>
      <c r="I152" t="s">
        <v>29</v>
      </c>
      <c r="J152" t="s">
        <v>224</v>
      </c>
      <c r="K152" s="13">
        <v>44206</v>
      </c>
      <c r="L152" t="s">
        <v>223</v>
      </c>
      <c r="M152" t="str">
        <f t="shared" si="6"/>
        <v>October</v>
      </c>
      <c r="N152">
        <f t="shared" si="7"/>
        <v>2020</v>
      </c>
    </row>
    <row r="153" spans="1:14" x14ac:dyDescent="0.25">
      <c r="A153">
        <v>151</v>
      </c>
      <c r="B153" s="52">
        <v>44130</v>
      </c>
      <c r="C153" s="2">
        <v>20</v>
      </c>
      <c r="D153" t="s">
        <v>234</v>
      </c>
      <c r="E153" t="s">
        <v>28</v>
      </c>
      <c r="F153" t="s">
        <v>35</v>
      </c>
      <c r="H153" t="s">
        <v>29</v>
      </c>
      <c r="I153" t="s">
        <v>29</v>
      </c>
      <c r="J153" t="s">
        <v>224</v>
      </c>
      <c r="K153" s="13">
        <v>44206</v>
      </c>
      <c r="L153" t="s">
        <v>223</v>
      </c>
      <c r="M153" t="str">
        <f t="shared" si="6"/>
        <v>October</v>
      </c>
      <c r="N153">
        <f t="shared" si="7"/>
        <v>2020</v>
      </c>
    </row>
    <row r="154" spans="1:14" x14ac:dyDescent="0.25">
      <c r="A154">
        <v>152</v>
      </c>
      <c r="B154" s="52">
        <v>44129</v>
      </c>
      <c r="C154" s="2">
        <v>24.13</v>
      </c>
      <c r="D154" t="s">
        <v>238</v>
      </c>
      <c r="E154" t="s">
        <v>28</v>
      </c>
      <c r="F154" t="s">
        <v>50</v>
      </c>
      <c r="H154" t="s">
        <v>29</v>
      </c>
      <c r="I154" t="s">
        <v>29</v>
      </c>
      <c r="J154" t="s">
        <v>224</v>
      </c>
      <c r="K154" s="13">
        <v>44206</v>
      </c>
      <c r="L154" t="s">
        <v>223</v>
      </c>
      <c r="M154" t="str">
        <f t="shared" si="6"/>
        <v>October</v>
      </c>
      <c r="N154">
        <f t="shared" si="7"/>
        <v>2020</v>
      </c>
    </row>
    <row r="155" spans="1:14" x14ac:dyDescent="0.25">
      <c r="A155">
        <v>153</v>
      </c>
      <c r="B155" s="52">
        <v>44129</v>
      </c>
      <c r="C155" s="2">
        <v>47.5</v>
      </c>
      <c r="D155" t="s">
        <v>239</v>
      </c>
      <c r="E155" t="s">
        <v>28</v>
      </c>
      <c r="F155" t="s">
        <v>54</v>
      </c>
      <c r="H155" t="s">
        <v>29</v>
      </c>
      <c r="I155" t="s">
        <v>29</v>
      </c>
      <c r="J155" t="s">
        <v>224</v>
      </c>
      <c r="K155" s="13">
        <v>44206</v>
      </c>
      <c r="L155" t="s">
        <v>223</v>
      </c>
      <c r="M155" t="str">
        <f t="shared" si="6"/>
        <v>October</v>
      </c>
      <c r="N155">
        <f t="shared" si="7"/>
        <v>2020</v>
      </c>
    </row>
    <row r="156" spans="1:14" x14ac:dyDescent="0.25">
      <c r="A156">
        <v>154</v>
      </c>
      <c r="B156" s="52">
        <v>44126</v>
      </c>
      <c r="C156" s="2">
        <v>12.86</v>
      </c>
      <c r="D156" t="s">
        <v>240</v>
      </c>
      <c r="E156" t="s">
        <v>28</v>
      </c>
      <c r="F156" t="s">
        <v>32</v>
      </c>
      <c r="H156" t="s">
        <v>29</v>
      </c>
      <c r="I156" t="s">
        <v>29</v>
      </c>
      <c r="J156" t="s">
        <v>224</v>
      </c>
      <c r="K156" s="13">
        <v>44206</v>
      </c>
      <c r="L156" t="s">
        <v>223</v>
      </c>
      <c r="M156" t="str">
        <f t="shared" si="6"/>
        <v>October</v>
      </c>
      <c r="N156">
        <f t="shared" si="7"/>
        <v>2020</v>
      </c>
    </row>
    <row r="157" spans="1:14" x14ac:dyDescent="0.25">
      <c r="A157">
        <v>155</v>
      </c>
      <c r="B157" s="52">
        <v>44125</v>
      </c>
      <c r="C157" s="2">
        <v>17.05</v>
      </c>
      <c r="D157" t="s">
        <v>241</v>
      </c>
      <c r="E157" t="s">
        <v>28</v>
      </c>
      <c r="F157" t="s">
        <v>33</v>
      </c>
      <c r="H157" t="s">
        <v>29</v>
      </c>
      <c r="I157" t="s">
        <v>29</v>
      </c>
      <c r="J157" t="s">
        <v>224</v>
      </c>
      <c r="K157" s="13">
        <v>44206</v>
      </c>
      <c r="L157" t="s">
        <v>223</v>
      </c>
      <c r="M157" t="str">
        <f t="shared" si="6"/>
        <v>October</v>
      </c>
      <c r="N157">
        <f t="shared" si="7"/>
        <v>2020</v>
      </c>
    </row>
    <row r="158" spans="1:14" x14ac:dyDescent="0.25">
      <c r="A158">
        <v>156</v>
      </c>
      <c r="B158" s="52">
        <v>44121</v>
      </c>
      <c r="C158" s="2">
        <v>11.52</v>
      </c>
      <c r="D158" t="s">
        <v>242</v>
      </c>
      <c r="E158" t="s">
        <v>28</v>
      </c>
      <c r="F158" t="s">
        <v>32</v>
      </c>
      <c r="G158" t="s">
        <v>513</v>
      </c>
      <c r="H158" t="s">
        <v>29</v>
      </c>
      <c r="I158" t="s">
        <v>29</v>
      </c>
      <c r="J158" t="s">
        <v>224</v>
      </c>
      <c r="K158" s="13">
        <v>44206</v>
      </c>
      <c r="L158" t="s">
        <v>223</v>
      </c>
      <c r="M158" t="str">
        <f t="shared" si="6"/>
        <v>October</v>
      </c>
      <c r="N158">
        <f t="shared" si="7"/>
        <v>2020</v>
      </c>
    </row>
    <row r="159" spans="1:14" x14ac:dyDescent="0.25">
      <c r="A159">
        <v>157</v>
      </c>
      <c r="B159" s="52">
        <v>44121</v>
      </c>
      <c r="C159" s="2">
        <v>87.12</v>
      </c>
      <c r="D159" t="s">
        <v>243</v>
      </c>
      <c r="E159" t="s">
        <v>28</v>
      </c>
      <c r="F159" t="s">
        <v>32</v>
      </c>
      <c r="G159" t="s">
        <v>513</v>
      </c>
      <c r="H159" t="s">
        <v>29</v>
      </c>
      <c r="I159" t="s">
        <v>29</v>
      </c>
      <c r="J159" t="s">
        <v>224</v>
      </c>
      <c r="K159" s="13">
        <v>44206</v>
      </c>
      <c r="L159" t="s">
        <v>223</v>
      </c>
      <c r="M159" t="str">
        <f t="shared" si="6"/>
        <v>October</v>
      </c>
      <c r="N159">
        <f t="shared" si="7"/>
        <v>2020</v>
      </c>
    </row>
    <row r="160" spans="1:14" x14ac:dyDescent="0.25">
      <c r="A160">
        <v>158</v>
      </c>
      <c r="B160" s="52">
        <v>44113</v>
      </c>
      <c r="C160" s="2">
        <v>29.5</v>
      </c>
      <c r="D160" t="s">
        <v>244</v>
      </c>
      <c r="E160" t="s">
        <v>28</v>
      </c>
      <c r="F160" t="s">
        <v>50</v>
      </c>
      <c r="H160" t="s">
        <v>29</v>
      </c>
      <c r="I160" t="s">
        <v>29</v>
      </c>
      <c r="J160" t="s">
        <v>224</v>
      </c>
      <c r="K160" s="13">
        <v>44206</v>
      </c>
      <c r="L160" t="s">
        <v>223</v>
      </c>
      <c r="M160" t="str">
        <f t="shared" si="6"/>
        <v>October</v>
      </c>
      <c r="N160">
        <f t="shared" si="7"/>
        <v>2020</v>
      </c>
    </row>
    <row r="161" spans="1:14" x14ac:dyDescent="0.25">
      <c r="A161">
        <v>159</v>
      </c>
      <c r="B161" s="52">
        <v>44113</v>
      </c>
      <c r="C161" s="2">
        <v>33.21</v>
      </c>
      <c r="D161" t="s">
        <v>230</v>
      </c>
      <c r="E161" t="s">
        <v>28</v>
      </c>
      <c r="F161" t="s">
        <v>520</v>
      </c>
      <c r="H161" t="s">
        <v>29</v>
      </c>
      <c r="I161" t="s">
        <v>29</v>
      </c>
      <c r="J161" t="s">
        <v>224</v>
      </c>
      <c r="K161" s="13">
        <v>44206</v>
      </c>
      <c r="L161" t="s">
        <v>223</v>
      </c>
      <c r="M161" t="str">
        <f t="shared" si="6"/>
        <v>October</v>
      </c>
      <c r="N161">
        <f t="shared" si="7"/>
        <v>2020</v>
      </c>
    </row>
    <row r="162" spans="1:14" x14ac:dyDescent="0.25">
      <c r="A162">
        <v>160</v>
      </c>
      <c r="B162" s="52">
        <v>44111</v>
      </c>
      <c r="C162" s="2">
        <v>35</v>
      </c>
      <c r="D162" t="s">
        <v>245</v>
      </c>
      <c r="E162" t="s">
        <v>28</v>
      </c>
      <c r="F162" t="s">
        <v>55</v>
      </c>
      <c r="H162" t="s">
        <v>29</v>
      </c>
      <c r="I162" t="s">
        <v>29</v>
      </c>
      <c r="J162" t="s">
        <v>224</v>
      </c>
      <c r="K162" s="13">
        <v>44206</v>
      </c>
      <c r="L162" t="s">
        <v>223</v>
      </c>
      <c r="M162" t="str">
        <f t="shared" si="6"/>
        <v>October</v>
      </c>
      <c r="N162">
        <f t="shared" si="7"/>
        <v>2020</v>
      </c>
    </row>
    <row r="163" spans="1:14" x14ac:dyDescent="0.25">
      <c r="A163">
        <v>161</v>
      </c>
      <c r="B163" s="52">
        <v>44104</v>
      </c>
      <c r="C163" s="2">
        <v>18.97</v>
      </c>
      <c r="D163" t="s">
        <v>246</v>
      </c>
      <c r="E163" t="s">
        <v>28</v>
      </c>
      <c r="F163" t="s">
        <v>50</v>
      </c>
      <c r="H163" t="s">
        <v>29</v>
      </c>
      <c r="I163" t="s">
        <v>29</v>
      </c>
      <c r="J163" t="s">
        <v>224</v>
      </c>
      <c r="K163" s="13">
        <v>44206</v>
      </c>
      <c r="L163" t="s">
        <v>223</v>
      </c>
      <c r="M163" t="str">
        <f t="shared" si="6"/>
        <v>September</v>
      </c>
      <c r="N163">
        <f t="shared" si="7"/>
        <v>2020</v>
      </c>
    </row>
    <row r="164" spans="1:14" x14ac:dyDescent="0.25">
      <c r="A164">
        <v>162</v>
      </c>
      <c r="B164" s="52">
        <v>44100</v>
      </c>
      <c r="C164" s="2">
        <v>38.11</v>
      </c>
      <c r="D164" t="s">
        <v>247</v>
      </c>
      <c r="E164" t="s">
        <v>28</v>
      </c>
      <c r="F164" t="s">
        <v>515</v>
      </c>
      <c r="H164" t="s">
        <v>29</v>
      </c>
      <c r="I164" t="s">
        <v>29</v>
      </c>
      <c r="J164" t="s">
        <v>224</v>
      </c>
      <c r="K164" s="13">
        <v>44206</v>
      </c>
      <c r="L164" t="s">
        <v>223</v>
      </c>
      <c r="M164" t="str">
        <f t="shared" si="6"/>
        <v>September</v>
      </c>
      <c r="N164">
        <f t="shared" si="7"/>
        <v>2020</v>
      </c>
    </row>
    <row r="165" spans="1:14" x14ac:dyDescent="0.25">
      <c r="A165">
        <v>163</v>
      </c>
      <c r="B165" s="52">
        <v>44099</v>
      </c>
      <c r="C165" s="2">
        <v>46.26</v>
      </c>
      <c r="D165" t="s">
        <v>248</v>
      </c>
      <c r="E165" t="s">
        <v>28</v>
      </c>
      <c r="F165" t="s">
        <v>50</v>
      </c>
      <c r="H165" t="s">
        <v>29</v>
      </c>
      <c r="I165" t="s">
        <v>29</v>
      </c>
      <c r="J165" t="s">
        <v>224</v>
      </c>
      <c r="K165" s="13">
        <v>44206</v>
      </c>
      <c r="L165" t="s">
        <v>223</v>
      </c>
      <c r="M165" t="str">
        <f t="shared" si="6"/>
        <v>September</v>
      </c>
      <c r="N165">
        <f t="shared" si="7"/>
        <v>2020</v>
      </c>
    </row>
    <row r="166" spans="1:14" x14ac:dyDescent="0.25">
      <c r="A166">
        <v>164</v>
      </c>
      <c r="B166" s="52">
        <v>44099</v>
      </c>
      <c r="C166" s="2">
        <v>117.86</v>
      </c>
      <c r="D166" t="s">
        <v>249</v>
      </c>
      <c r="E166" t="s">
        <v>28</v>
      </c>
      <c r="F166" t="s">
        <v>35</v>
      </c>
      <c r="H166" t="s">
        <v>29</v>
      </c>
      <c r="I166" t="s">
        <v>29</v>
      </c>
      <c r="J166" t="s">
        <v>224</v>
      </c>
      <c r="K166" s="13">
        <v>44206</v>
      </c>
      <c r="L166" t="s">
        <v>223</v>
      </c>
      <c r="M166" t="str">
        <f t="shared" si="6"/>
        <v>September</v>
      </c>
      <c r="N166">
        <f t="shared" si="7"/>
        <v>2020</v>
      </c>
    </row>
    <row r="167" spans="1:14" x14ac:dyDescent="0.25">
      <c r="A167">
        <v>165</v>
      </c>
      <c r="B167" s="52">
        <v>44098</v>
      </c>
      <c r="C167" s="2">
        <v>33.450000000000003</v>
      </c>
      <c r="D167" t="s">
        <v>238</v>
      </c>
      <c r="E167" t="s">
        <v>28</v>
      </c>
      <c r="F167" t="s">
        <v>50</v>
      </c>
      <c r="H167" t="s">
        <v>29</v>
      </c>
      <c r="I167" t="s">
        <v>29</v>
      </c>
      <c r="J167" t="s">
        <v>224</v>
      </c>
      <c r="K167" s="13">
        <v>44206</v>
      </c>
      <c r="L167" t="s">
        <v>223</v>
      </c>
      <c r="M167" t="str">
        <f t="shared" si="6"/>
        <v>September</v>
      </c>
      <c r="N167">
        <f t="shared" si="7"/>
        <v>2020</v>
      </c>
    </row>
    <row r="168" spans="1:14" x14ac:dyDescent="0.25">
      <c r="A168">
        <v>166</v>
      </c>
      <c r="B168" s="52">
        <v>44097</v>
      </c>
      <c r="C168" s="2">
        <v>32.49</v>
      </c>
      <c r="D168" t="s">
        <v>250</v>
      </c>
      <c r="E168" t="s">
        <v>28</v>
      </c>
      <c r="F168" t="s">
        <v>519</v>
      </c>
      <c r="H168" t="s">
        <v>29</v>
      </c>
      <c r="I168" t="s">
        <v>29</v>
      </c>
      <c r="J168" t="s">
        <v>224</v>
      </c>
      <c r="K168" s="13">
        <v>44206</v>
      </c>
      <c r="L168" t="s">
        <v>223</v>
      </c>
      <c r="M168" t="str">
        <f t="shared" si="6"/>
        <v>September</v>
      </c>
      <c r="N168">
        <f t="shared" si="7"/>
        <v>2020</v>
      </c>
    </row>
    <row r="169" spans="1:14" x14ac:dyDescent="0.25">
      <c r="A169">
        <v>167</v>
      </c>
      <c r="B169" s="52">
        <v>44096</v>
      </c>
      <c r="C169" s="2">
        <v>67.099999999999994</v>
      </c>
      <c r="D169" t="s">
        <v>251</v>
      </c>
      <c r="E169" t="s">
        <v>28</v>
      </c>
      <c r="F169" t="s">
        <v>519</v>
      </c>
      <c r="H169" t="s">
        <v>29</v>
      </c>
      <c r="I169" t="s">
        <v>29</v>
      </c>
      <c r="J169" t="s">
        <v>224</v>
      </c>
      <c r="K169" s="13">
        <v>44206</v>
      </c>
      <c r="L169" t="s">
        <v>223</v>
      </c>
      <c r="M169" t="str">
        <f t="shared" si="6"/>
        <v>September</v>
      </c>
      <c r="N169">
        <f t="shared" si="7"/>
        <v>2020</v>
      </c>
    </row>
    <row r="170" spans="1:14" x14ac:dyDescent="0.25">
      <c r="A170">
        <v>168</v>
      </c>
      <c r="B170" s="52">
        <v>44094</v>
      </c>
      <c r="C170" s="2">
        <v>11.68</v>
      </c>
      <c r="D170" t="s">
        <v>252</v>
      </c>
      <c r="E170" t="s">
        <v>28</v>
      </c>
      <c r="F170" t="s">
        <v>522</v>
      </c>
      <c r="H170" t="s">
        <v>29</v>
      </c>
      <c r="I170" t="s">
        <v>29</v>
      </c>
      <c r="J170" t="s">
        <v>224</v>
      </c>
      <c r="K170" s="13">
        <v>44206</v>
      </c>
      <c r="L170" t="s">
        <v>223</v>
      </c>
      <c r="M170" t="str">
        <f t="shared" si="6"/>
        <v>September</v>
      </c>
      <c r="N170">
        <f t="shared" si="7"/>
        <v>2020</v>
      </c>
    </row>
    <row r="171" spans="1:14" x14ac:dyDescent="0.25">
      <c r="A171">
        <v>169</v>
      </c>
      <c r="B171" s="52">
        <v>44092</v>
      </c>
      <c r="C171" s="2">
        <v>16.03</v>
      </c>
      <c r="D171" t="s">
        <v>253</v>
      </c>
      <c r="E171" t="s">
        <v>28</v>
      </c>
      <c r="F171" t="s">
        <v>50</v>
      </c>
      <c r="H171" t="s">
        <v>29</v>
      </c>
      <c r="I171" t="s">
        <v>29</v>
      </c>
      <c r="J171" t="s">
        <v>224</v>
      </c>
      <c r="K171" s="13">
        <v>44206</v>
      </c>
      <c r="L171" t="s">
        <v>223</v>
      </c>
      <c r="M171" t="str">
        <f t="shared" si="6"/>
        <v>September</v>
      </c>
      <c r="N171">
        <f t="shared" si="7"/>
        <v>2020</v>
      </c>
    </row>
    <row r="172" spans="1:14" x14ac:dyDescent="0.25">
      <c r="A172">
        <v>170</v>
      </c>
      <c r="B172" s="52">
        <v>44092</v>
      </c>
      <c r="C172" s="2">
        <v>40.549999999999997</v>
      </c>
      <c r="D172" t="s">
        <v>253</v>
      </c>
      <c r="E172" t="s">
        <v>28</v>
      </c>
      <c r="F172" t="s">
        <v>50</v>
      </c>
      <c r="H172" t="s">
        <v>29</v>
      </c>
      <c r="I172" t="s">
        <v>29</v>
      </c>
      <c r="J172" t="s">
        <v>224</v>
      </c>
      <c r="K172" s="13">
        <v>44206</v>
      </c>
      <c r="L172" t="s">
        <v>223</v>
      </c>
      <c r="M172" t="str">
        <f t="shared" si="6"/>
        <v>September</v>
      </c>
      <c r="N172">
        <f t="shared" si="7"/>
        <v>2020</v>
      </c>
    </row>
    <row r="173" spans="1:14" x14ac:dyDescent="0.25">
      <c r="A173">
        <v>171</v>
      </c>
      <c r="B173" s="52">
        <v>44092</v>
      </c>
      <c r="C173" s="2">
        <v>134.38999999999999</v>
      </c>
      <c r="D173" t="s">
        <v>254</v>
      </c>
      <c r="E173" t="s">
        <v>28</v>
      </c>
      <c r="F173" t="s">
        <v>50</v>
      </c>
      <c r="H173" t="s">
        <v>29</v>
      </c>
      <c r="I173" t="s">
        <v>29</v>
      </c>
      <c r="J173" t="s">
        <v>224</v>
      </c>
      <c r="K173" s="13">
        <v>44206</v>
      </c>
      <c r="L173" t="s">
        <v>223</v>
      </c>
      <c r="M173" t="str">
        <f t="shared" si="6"/>
        <v>September</v>
      </c>
      <c r="N173">
        <f t="shared" si="7"/>
        <v>2020</v>
      </c>
    </row>
    <row r="174" spans="1:14" x14ac:dyDescent="0.25">
      <c r="A174">
        <v>172</v>
      </c>
      <c r="B174" s="52">
        <v>44092</v>
      </c>
      <c r="C174" s="2">
        <v>60.15</v>
      </c>
      <c r="D174" t="s">
        <v>255</v>
      </c>
      <c r="E174" t="s">
        <v>28</v>
      </c>
      <c r="F174" t="s">
        <v>52</v>
      </c>
      <c r="H174" t="s">
        <v>29</v>
      </c>
      <c r="I174" t="s">
        <v>29</v>
      </c>
      <c r="J174" t="s">
        <v>224</v>
      </c>
      <c r="K174" s="13">
        <v>44206</v>
      </c>
      <c r="L174" t="s">
        <v>223</v>
      </c>
      <c r="M174" t="str">
        <f t="shared" si="6"/>
        <v>September</v>
      </c>
      <c r="N174">
        <f t="shared" si="7"/>
        <v>2020</v>
      </c>
    </row>
    <row r="175" spans="1:14" x14ac:dyDescent="0.25">
      <c r="A175">
        <v>173</v>
      </c>
      <c r="B175" s="52">
        <v>44093</v>
      </c>
      <c r="C175" s="2">
        <v>24</v>
      </c>
      <c r="D175" t="s">
        <v>256</v>
      </c>
      <c r="E175" t="s">
        <v>28</v>
      </c>
      <c r="F175" t="s">
        <v>50</v>
      </c>
      <c r="H175" t="s">
        <v>29</v>
      </c>
      <c r="I175" t="s">
        <v>29</v>
      </c>
      <c r="J175" t="s">
        <v>224</v>
      </c>
      <c r="K175" s="13">
        <v>44206</v>
      </c>
      <c r="L175" t="s">
        <v>223</v>
      </c>
      <c r="M175" t="str">
        <f t="shared" si="6"/>
        <v>September</v>
      </c>
      <c r="N175">
        <f t="shared" si="7"/>
        <v>2020</v>
      </c>
    </row>
    <row r="176" spans="1:14" x14ac:dyDescent="0.25">
      <c r="A176">
        <v>174</v>
      </c>
      <c r="B176" s="52">
        <v>44092</v>
      </c>
      <c r="C176" s="2">
        <v>98.36</v>
      </c>
      <c r="D176" t="s">
        <v>257</v>
      </c>
      <c r="E176" t="s">
        <v>28</v>
      </c>
      <c r="F176" t="s">
        <v>522</v>
      </c>
      <c r="H176" t="s">
        <v>29</v>
      </c>
      <c r="I176" t="s">
        <v>29</v>
      </c>
      <c r="J176" t="s">
        <v>224</v>
      </c>
      <c r="K176" s="13">
        <v>44206</v>
      </c>
      <c r="L176" t="s">
        <v>223</v>
      </c>
      <c r="M176" t="str">
        <f t="shared" si="6"/>
        <v>September</v>
      </c>
      <c r="N176">
        <f t="shared" si="7"/>
        <v>2020</v>
      </c>
    </row>
    <row r="177" spans="1:14" x14ac:dyDescent="0.25">
      <c r="A177">
        <v>175</v>
      </c>
      <c r="B177" s="52">
        <v>44087</v>
      </c>
      <c r="C177" s="2">
        <v>16.420000000000002</v>
      </c>
      <c r="D177" t="s">
        <v>258</v>
      </c>
      <c r="E177" t="s">
        <v>28</v>
      </c>
      <c r="F177" t="s">
        <v>50</v>
      </c>
      <c r="H177" t="s">
        <v>29</v>
      </c>
      <c r="I177" t="s">
        <v>29</v>
      </c>
      <c r="J177" t="s">
        <v>224</v>
      </c>
      <c r="K177" s="13">
        <v>44206</v>
      </c>
      <c r="L177" t="s">
        <v>223</v>
      </c>
      <c r="M177" t="str">
        <f t="shared" si="6"/>
        <v>September</v>
      </c>
      <c r="N177">
        <f t="shared" si="7"/>
        <v>2020</v>
      </c>
    </row>
    <row r="178" spans="1:14" x14ac:dyDescent="0.25">
      <c r="A178">
        <v>176</v>
      </c>
      <c r="B178" s="52">
        <v>44086</v>
      </c>
      <c r="C178" s="2">
        <v>172</v>
      </c>
      <c r="D178" t="s">
        <v>259</v>
      </c>
      <c r="E178" t="s">
        <v>28</v>
      </c>
      <c r="F178" t="s">
        <v>35</v>
      </c>
      <c r="H178" t="s">
        <v>29</v>
      </c>
      <c r="I178" t="s">
        <v>29</v>
      </c>
      <c r="J178" t="s">
        <v>224</v>
      </c>
      <c r="K178" s="13">
        <v>44206</v>
      </c>
      <c r="L178" t="s">
        <v>223</v>
      </c>
      <c r="M178" t="str">
        <f t="shared" si="6"/>
        <v>September</v>
      </c>
      <c r="N178">
        <f t="shared" si="7"/>
        <v>2020</v>
      </c>
    </row>
    <row r="179" spans="1:14" x14ac:dyDescent="0.25">
      <c r="A179">
        <v>177</v>
      </c>
      <c r="B179" s="52">
        <v>44086</v>
      </c>
      <c r="C179" s="2">
        <v>61.48</v>
      </c>
      <c r="D179" t="s">
        <v>260</v>
      </c>
      <c r="E179" t="s">
        <v>28</v>
      </c>
      <c r="F179" t="s">
        <v>520</v>
      </c>
      <c r="H179" t="s">
        <v>29</v>
      </c>
      <c r="I179" t="s">
        <v>29</v>
      </c>
      <c r="J179" t="s">
        <v>224</v>
      </c>
      <c r="K179" s="13">
        <v>44206</v>
      </c>
      <c r="L179" t="s">
        <v>223</v>
      </c>
      <c r="M179" t="str">
        <f t="shared" si="6"/>
        <v>September</v>
      </c>
      <c r="N179">
        <f t="shared" si="7"/>
        <v>2020</v>
      </c>
    </row>
    <row r="180" spans="1:14" x14ac:dyDescent="0.25">
      <c r="A180">
        <v>178</v>
      </c>
      <c r="B180" s="52">
        <v>44077</v>
      </c>
      <c r="C180" s="2">
        <v>102.43</v>
      </c>
      <c r="D180" t="s">
        <v>261</v>
      </c>
      <c r="E180" t="s">
        <v>28</v>
      </c>
      <c r="F180" t="s">
        <v>52</v>
      </c>
      <c r="H180" t="s">
        <v>29</v>
      </c>
      <c r="I180" t="s">
        <v>29</v>
      </c>
      <c r="J180" t="s">
        <v>224</v>
      </c>
      <c r="K180" s="13">
        <v>44206</v>
      </c>
      <c r="L180" t="s">
        <v>223</v>
      </c>
      <c r="M180" t="str">
        <f t="shared" si="6"/>
        <v>September</v>
      </c>
      <c r="N180">
        <f t="shared" si="7"/>
        <v>2020</v>
      </c>
    </row>
    <row r="181" spans="1:14" x14ac:dyDescent="0.25">
      <c r="A181">
        <v>179</v>
      </c>
      <c r="B181" s="52">
        <v>44076</v>
      </c>
      <c r="C181" s="2">
        <v>4.2300000000000004</v>
      </c>
      <c r="D181" t="s">
        <v>36</v>
      </c>
      <c r="E181" t="s">
        <v>28</v>
      </c>
      <c r="F181" t="s">
        <v>31</v>
      </c>
      <c r="H181" t="s">
        <v>29</v>
      </c>
      <c r="I181" t="s">
        <v>29</v>
      </c>
      <c r="J181" t="s">
        <v>224</v>
      </c>
      <c r="K181" s="13">
        <v>44206</v>
      </c>
      <c r="L181" t="s">
        <v>223</v>
      </c>
      <c r="M181" t="str">
        <f t="shared" si="6"/>
        <v>September</v>
      </c>
      <c r="N181">
        <f t="shared" si="7"/>
        <v>2020</v>
      </c>
    </row>
    <row r="182" spans="1:14" x14ac:dyDescent="0.25">
      <c r="A182">
        <v>180</v>
      </c>
      <c r="B182" s="52">
        <v>44071</v>
      </c>
      <c r="C182" s="2">
        <v>34.950000000000003</v>
      </c>
      <c r="D182" t="s">
        <v>262</v>
      </c>
      <c r="E182" t="s">
        <v>28</v>
      </c>
      <c r="F182" t="s">
        <v>50</v>
      </c>
      <c r="H182" t="s">
        <v>29</v>
      </c>
      <c r="I182" t="s">
        <v>29</v>
      </c>
      <c r="J182" t="s">
        <v>224</v>
      </c>
      <c r="K182" s="13">
        <v>44206</v>
      </c>
      <c r="L182" t="s">
        <v>223</v>
      </c>
      <c r="M182" t="str">
        <f t="shared" si="6"/>
        <v>August</v>
      </c>
      <c r="N182">
        <f t="shared" si="7"/>
        <v>2020</v>
      </c>
    </row>
    <row r="183" spans="1:14" x14ac:dyDescent="0.25">
      <c r="A183">
        <v>181</v>
      </c>
      <c r="B183" s="52">
        <v>44070</v>
      </c>
      <c r="C183" s="2">
        <v>31</v>
      </c>
      <c r="D183" t="s">
        <v>263</v>
      </c>
      <c r="E183" t="s">
        <v>28</v>
      </c>
      <c r="F183" t="s">
        <v>55</v>
      </c>
      <c r="H183" t="s">
        <v>29</v>
      </c>
      <c r="I183" t="s">
        <v>29</v>
      </c>
      <c r="J183" t="s">
        <v>224</v>
      </c>
      <c r="K183" s="13">
        <v>44206</v>
      </c>
      <c r="L183" t="s">
        <v>223</v>
      </c>
      <c r="M183" t="str">
        <f t="shared" si="6"/>
        <v>August</v>
      </c>
      <c r="N183">
        <f t="shared" si="7"/>
        <v>2020</v>
      </c>
    </row>
    <row r="184" spans="1:14" x14ac:dyDescent="0.25">
      <c r="A184">
        <v>182</v>
      </c>
      <c r="B184" s="52">
        <v>44068</v>
      </c>
      <c r="C184" s="2">
        <v>5.3</v>
      </c>
      <c r="D184" t="s">
        <v>260</v>
      </c>
      <c r="E184" t="s">
        <v>28</v>
      </c>
      <c r="F184" t="s">
        <v>520</v>
      </c>
      <c r="H184" t="s">
        <v>29</v>
      </c>
      <c r="I184" t="s">
        <v>29</v>
      </c>
      <c r="J184" t="s">
        <v>224</v>
      </c>
      <c r="K184" s="13">
        <v>44206</v>
      </c>
      <c r="L184" t="s">
        <v>223</v>
      </c>
      <c r="M184" t="str">
        <f t="shared" si="6"/>
        <v>August</v>
      </c>
      <c r="N184">
        <f t="shared" si="7"/>
        <v>2020</v>
      </c>
    </row>
    <row r="185" spans="1:14" x14ac:dyDescent="0.25">
      <c r="A185">
        <v>183</v>
      </c>
      <c r="B185" s="52">
        <v>44068</v>
      </c>
      <c r="C185" s="2">
        <v>18.22</v>
      </c>
      <c r="D185" t="s">
        <v>264</v>
      </c>
      <c r="E185" t="s">
        <v>28</v>
      </c>
      <c r="F185" t="s">
        <v>519</v>
      </c>
      <c r="H185" t="s">
        <v>29</v>
      </c>
      <c r="I185" t="s">
        <v>29</v>
      </c>
      <c r="J185" t="s">
        <v>224</v>
      </c>
      <c r="K185" s="13">
        <v>44206</v>
      </c>
      <c r="L185" t="s">
        <v>223</v>
      </c>
      <c r="M185" t="str">
        <f t="shared" si="6"/>
        <v>August</v>
      </c>
      <c r="N185">
        <f t="shared" si="7"/>
        <v>2020</v>
      </c>
    </row>
    <row r="186" spans="1:14" x14ac:dyDescent="0.25">
      <c r="A186">
        <v>184</v>
      </c>
      <c r="B186" s="52">
        <v>44065</v>
      </c>
      <c r="C186" s="2">
        <v>11.4</v>
      </c>
      <c r="D186" t="s">
        <v>42</v>
      </c>
      <c r="E186" t="s">
        <v>28</v>
      </c>
      <c r="F186" t="s">
        <v>50</v>
      </c>
      <c r="H186" t="s">
        <v>29</v>
      </c>
      <c r="I186" t="s">
        <v>29</v>
      </c>
      <c r="J186" t="s">
        <v>224</v>
      </c>
      <c r="K186" s="13">
        <v>44206</v>
      </c>
      <c r="L186" t="s">
        <v>223</v>
      </c>
      <c r="M186" t="str">
        <f t="shared" si="6"/>
        <v>August</v>
      </c>
      <c r="N186">
        <f t="shared" si="7"/>
        <v>2020</v>
      </c>
    </row>
    <row r="187" spans="1:14" x14ac:dyDescent="0.25">
      <c r="A187">
        <v>185</v>
      </c>
      <c r="B187" s="52">
        <v>44064</v>
      </c>
      <c r="C187" s="2">
        <v>6.2</v>
      </c>
      <c r="D187" t="s">
        <v>265</v>
      </c>
      <c r="E187" t="s">
        <v>28</v>
      </c>
      <c r="F187" t="s">
        <v>50</v>
      </c>
      <c r="H187" t="s">
        <v>29</v>
      </c>
      <c r="I187" t="s">
        <v>29</v>
      </c>
      <c r="J187" t="s">
        <v>224</v>
      </c>
      <c r="K187" s="13">
        <v>44206</v>
      </c>
      <c r="L187" t="s">
        <v>223</v>
      </c>
      <c r="M187" t="str">
        <f t="shared" si="6"/>
        <v>August</v>
      </c>
      <c r="N187">
        <f t="shared" si="7"/>
        <v>2020</v>
      </c>
    </row>
    <row r="188" spans="1:14" x14ac:dyDescent="0.25">
      <c r="A188">
        <v>186</v>
      </c>
      <c r="B188" s="52">
        <v>44064</v>
      </c>
      <c r="C188" s="2">
        <v>165.36</v>
      </c>
      <c r="D188" t="s">
        <v>260</v>
      </c>
      <c r="E188" t="s">
        <v>28</v>
      </c>
      <c r="F188" t="s">
        <v>520</v>
      </c>
      <c r="H188" t="s">
        <v>29</v>
      </c>
      <c r="I188" t="s">
        <v>29</v>
      </c>
      <c r="J188" t="s">
        <v>224</v>
      </c>
      <c r="K188" s="13">
        <v>44206</v>
      </c>
      <c r="L188" t="s">
        <v>223</v>
      </c>
      <c r="M188" t="str">
        <f t="shared" si="6"/>
        <v>August</v>
      </c>
      <c r="N188">
        <f t="shared" si="7"/>
        <v>2020</v>
      </c>
    </row>
    <row r="189" spans="1:14" x14ac:dyDescent="0.25">
      <c r="A189">
        <v>187</v>
      </c>
      <c r="B189" s="52">
        <v>44064</v>
      </c>
      <c r="C189" s="2">
        <v>61.18</v>
      </c>
      <c r="D189" t="s">
        <v>40</v>
      </c>
      <c r="E189" t="s">
        <v>28</v>
      </c>
      <c r="F189" t="s">
        <v>50</v>
      </c>
      <c r="H189" t="s">
        <v>29</v>
      </c>
      <c r="I189" t="s">
        <v>29</v>
      </c>
      <c r="J189" t="s">
        <v>224</v>
      </c>
      <c r="K189" s="13">
        <v>44206</v>
      </c>
      <c r="L189" t="s">
        <v>223</v>
      </c>
      <c r="M189" t="str">
        <f t="shared" si="6"/>
        <v>August</v>
      </c>
      <c r="N189">
        <f t="shared" si="7"/>
        <v>2020</v>
      </c>
    </row>
    <row r="190" spans="1:14" x14ac:dyDescent="0.25">
      <c r="A190">
        <v>188</v>
      </c>
      <c r="B190" s="52">
        <v>44062</v>
      </c>
      <c r="C190" s="2">
        <v>64.97</v>
      </c>
      <c r="D190" t="s">
        <v>37</v>
      </c>
      <c r="E190" t="s">
        <v>28</v>
      </c>
      <c r="F190" t="s">
        <v>519</v>
      </c>
      <c r="H190" t="s">
        <v>29</v>
      </c>
      <c r="I190" t="s">
        <v>29</v>
      </c>
      <c r="J190" t="s">
        <v>224</v>
      </c>
      <c r="K190" s="13">
        <v>44206</v>
      </c>
      <c r="L190" t="s">
        <v>223</v>
      </c>
      <c r="M190" t="str">
        <f t="shared" si="6"/>
        <v>August</v>
      </c>
      <c r="N190">
        <f t="shared" si="7"/>
        <v>2020</v>
      </c>
    </row>
    <row r="191" spans="1:14" x14ac:dyDescent="0.25">
      <c r="A191">
        <v>189</v>
      </c>
      <c r="B191" s="52">
        <v>44059</v>
      </c>
      <c r="C191" s="2">
        <v>18.21</v>
      </c>
      <c r="D191" t="s">
        <v>30</v>
      </c>
      <c r="E191" t="s">
        <v>28</v>
      </c>
      <c r="F191" t="s">
        <v>32</v>
      </c>
      <c r="H191" t="s">
        <v>29</v>
      </c>
      <c r="I191" t="s">
        <v>29</v>
      </c>
      <c r="J191" t="s">
        <v>224</v>
      </c>
      <c r="K191" s="13">
        <v>44206</v>
      </c>
      <c r="L191" t="s">
        <v>223</v>
      </c>
      <c r="M191" t="str">
        <f t="shared" si="6"/>
        <v>August</v>
      </c>
      <c r="N191">
        <f t="shared" si="7"/>
        <v>2020</v>
      </c>
    </row>
    <row r="192" spans="1:14" x14ac:dyDescent="0.25">
      <c r="A192">
        <v>190</v>
      </c>
      <c r="B192" s="52">
        <v>44059</v>
      </c>
      <c r="C192" s="2">
        <v>75</v>
      </c>
      <c r="D192" t="s">
        <v>266</v>
      </c>
      <c r="E192" t="s">
        <v>28</v>
      </c>
      <c r="F192" t="s">
        <v>50</v>
      </c>
      <c r="H192" t="s">
        <v>29</v>
      </c>
      <c r="I192" t="s">
        <v>29</v>
      </c>
      <c r="J192" t="s">
        <v>224</v>
      </c>
      <c r="K192" s="13">
        <v>44206</v>
      </c>
      <c r="L192" t="s">
        <v>223</v>
      </c>
      <c r="M192" t="str">
        <f t="shared" si="6"/>
        <v>August</v>
      </c>
      <c r="N192">
        <f t="shared" si="7"/>
        <v>2020</v>
      </c>
    </row>
    <row r="193" spans="1:14" x14ac:dyDescent="0.25">
      <c r="A193">
        <v>191</v>
      </c>
      <c r="B193" s="52">
        <v>44057</v>
      </c>
      <c r="C193" s="2">
        <v>20.02</v>
      </c>
      <c r="D193" t="s">
        <v>267</v>
      </c>
      <c r="E193" t="s">
        <v>28</v>
      </c>
      <c r="F193" t="s">
        <v>33</v>
      </c>
      <c r="H193" t="s">
        <v>29</v>
      </c>
      <c r="I193" t="s">
        <v>29</v>
      </c>
      <c r="J193" t="s">
        <v>224</v>
      </c>
      <c r="K193" s="13">
        <v>44206</v>
      </c>
      <c r="L193" t="s">
        <v>223</v>
      </c>
      <c r="M193" t="str">
        <f t="shared" si="6"/>
        <v>August</v>
      </c>
      <c r="N193">
        <f t="shared" si="7"/>
        <v>2020</v>
      </c>
    </row>
    <row r="194" spans="1:14" x14ac:dyDescent="0.25">
      <c r="A194">
        <v>192</v>
      </c>
      <c r="B194" s="52">
        <v>44053</v>
      </c>
      <c r="C194" s="2">
        <v>21.75</v>
      </c>
      <c r="D194" t="s">
        <v>268</v>
      </c>
      <c r="E194" t="s">
        <v>28</v>
      </c>
      <c r="F194" t="s">
        <v>50</v>
      </c>
      <c r="H194" t="s">
        <v>29</v>
      </c>
      <c r="I194" t="s">
        <v>29</v>
      </c>
      <c r="J194" t="s">
        <v>224</v>
      </c>
      <c r="K194" s="13">
        <v>44206</v>
      </c>
      <c r="L194" t="s">
        <v>223</v>
      </c>
      <c r="M194" t="str">
        <f t="shared" si="6"/>
        <v>August</v>
      </c>
      <c r="N194">
        <f t="shared" si="7"/>
        <v>2020</v>
      </c>
    </row>
    <row r="195" spans="1:14" x14ac:dyDescent="0.25">
      <c r="A195">
        <v>193</v>
      </c>
      <c r="B195" s="52">
        <v>44052</v>
      </c>
      <c r="C195" s="2">
        <v>3.87</v>
      </c>
      <c r="D195" t="s">
        <v>269</v>
      </c>
      <c r="E195" t="s">
        <v>28</v>
      </c>
      <c r="F195" t="s">
        <v>50</v>
      </c>
      <c r="H195" t="s">
        <v>29</v>
      </c>
      <c r="I195" t="s">
        <v>29</v>
      </c>
      <c r="J195" t="s">
        <v>224</v>
      </c>
      <c r="K195" s="13">
        <v>44206</v>
      </c>
      <c r="L195" t="s">
        <v>223</v>
      </c>
      <c r="M195" t="str">
        <f t="shared" ref="M195:M258" si="8">TEXT(B195,"mmmm")</f>
        <v>August</v>
      </c>
      <c r="N195">
        <f t="shared" ref="N195:N258" si="9">YEAR(B195)</f>
        <v>2020</v>
      </c>
    </row>
    <row r="196" spans="1:14" x14ac:dyDescent="0.25">
      <c r="A196">
        <v>194</v>
      </c>
      <c r="B196" s="52">
        <v>44052</v>
      </c>
      <c r="C196" s="2">
        <v>15.58</v>
      </c>
      <c r="D196" t="s">
        <v>42</v>
      </c>
      <c r="E196" t="s">
        <v>28</v>
      </c>
      <c r="F196" t="s">
        <v>50</v>
      </c>
      <c r="H196" t="s">
        <v>29</v>
      </c>
      <c r="I196" t="s">
        <v>29</v>
      </c>
      <c r="J196" t="s">
        <v>224</v>
      </c>
      <c r="K196" s="13">
        <v>44206</v>
      </c>
      <c r="L196" t="s">
        <v>223</v>
      </c>
      <c r="M196" t="str">
        <f t="shared" si="8"/>
        <v>August</v>
      </c>
      <c r="N196">
        <f t="shared" si="9"/>
        <v>2020</v>
      </c>
    </row>
    <row r="197" spans="1:14" x14ac:dyDescent="0.25">
      <c r="A197">
        <v>195</v>
      </c>
      <c r="B197" s="52">
        <v>44050</v>
      </c>
      <c r="C197" s="2">
        <v>43.18</v>
      </c>
      <c r="D197" t="s">
        <v>270</v>
      </c>
      <c r="E197" t="s">
        <v>28</v>
      </c>
      <c r="F197" t="s">
        <v>33</v>
      </c>
      <c r="H197" t="s">
        <v>29</v>
      </c>
      <c r="I197" t="s">
        <v>29</v>
      </c>
      <c r="J197" t="s">
        <v>224</v>
      </c>
      <c r="K197" s="13">
        <v>44206</v>
      </c>
      <c r="L197" t="s">
        <v>223</v>
      </c>
      <c r="M197" t="str">
        <f t="shared" si="8"/>
        <v>August</v>
      </c>
      <c r="N197">
        <f t="shared" si="9"/>
        <v>2020</v>
      </c>
    </row>
    <row r="198" spans="1:14" x14ac:dyDescent="0.25">
      <c r="A198">
        <v>196</v>
      </c>
      <c r="B198" s="52">
        <v>44048</v>
      </c>
      <c r="C198" s="2">
        <v>23.3</v>
      </c>
      <c r="D198" t="s">
        <v>271</v>
      </c>
      <c r="E198" t="s">
        <v>28</v>
      </c>
      <c r="F198" t="s">
        <v>33</v>
      </c>
      <c r="H198" t="s">
        <v>29</v>
      </c>
      <c r="I198" t="s">
        <v>29</v>
      </c>
      <c r="J198" t="s">
        <v>224</v>
      </c>
      <c r="K198" s="13">
        <v>44206</v>
      </c>
      <c r="L198" t="s">
        <v>223</v>
      </c>
      <c r="M198" t="str">
        <f t="shared" si="8"/>
        <v>August</v>
      </c>
      <c r="N198">
        <f t="shared" si="9"/>
        <v>2020</v>
      </c>
    </row>
    <row r="199" spans="1:14" x14ac:dyDescent="0.25">
      <c r="A199">
        <v>197</v>
      </c>
      <c r="B199" s="52">
        <v>44048</v>
      </c>
      <c r="C199" s="2">
        <v>302.88</v>
      </c>
      <c r="D199" t="s">
        <v>272</v>
      </c>
      <c r="E199" t="s">
        <v>28</v>
      </c>
      <c r="F199" t="s">
        <v>520</v>
      </c>
      <c r="H199" t="s">
        <v>29</v>
      </c>
      <c r="I199" t="s">
        <v>29</v>
      </c>
      <c r="J199" t="s">
        <v>224</v>
      </c>
      <c r="K199" s="13">
        <v>44206</v>
      </c>
      <c r="L199" t="s">
        <v>223</v>
      </c>
      <c r="M199" t="str">
        <f t="shared" si="8"/>
        <v>August</v>
      </c>
      <c r="N199">
        <f t="shared" si="9"/>
        <v>2020</v>
      </c>
    </row>
    <row r="200" spans="1:14" x14ac:dyDescent="0.25">
      <c r="A200">
        <v>198</v>
      </c>
      <c r="B200" s="52">
        <v>44048</v>
      </c>
      <c r="C200" s="2">
        <v>60</v>
      </c>
      <c r="D200" t="s">
        <v>273</v>
      </c>
      <c r="E200" t="s">
        <v>28</v>
      </c>
      <c r="F200" t="s">
        <v>520</v>
      </c>
      <c r="H200" t="s">
        <v>29</v>
      </c>
      <c r="I200" t="s">
        <v>29</v>
      </c>
      <c r="J200" t="s">
        <v>224</v>
      </c>
      <c r="K200" s="13">
        <v>44206</v>
      </c>
      <c r="L200" t="s">
        <v>223</v>
      </c>
      <c r="M200" t="str">
        <f t="shared" si="8"/>
        <v>August</v>
      </c>
      <c r="N200">
        <f t="shared" si="9"/>
        <v>2020</v>
      </c>
    </row>
    <row r="201" spans="1:14" x14ac:dyDescent="0.25">
      <c r="A201">
        <v>199</v>
      </c>
      <c r="B201" s="52">
        <v>44046</v>
      </c>
      <c r="C201" s="2">
        <v>4.2300000000000004</v>
      </c>
      <c r="D201" t="s">
        <v>36</v>
      </c>
      <c r="E201" t="s">
        <v>28</v>
      </c>
      <c r="F201" t="s">
        <v>31</v>
      </c>
      <c r="H201" t="s">
        <v>29</v>
      </c>
      <c r="I201" t="s">
        <v>29</v>
      </c>
      <c r="J201" t="s">
        <v>224</v>
      </c>
      <c r="K201" s="13">
        <v>44206</v>
      </c>
      <c r="L201" t="s">
        <v>223</v>
      </c>
      <c r="M201" t="str">
        <f t="shared" si="8"/>
        <v>August</v>
      </c>
      <c r="N201">
        <f t="shared" si="9"/>
        <v>2020</v>
      </c>
    </row>
    <row r="202" spans="1:14" x14ac:dyDescent="0.25">
      <c r="A202">
        <v>200</v>
      </c>
      <c r="B202" s="52">
        <v>44039</v>
      </c>
      <c r="C202" s="2">
        <v>69</v>
      </c>
      <c r="D202" t="s">
        <v>274</v>
      </c>
      <c r="E202" t="s">
        <v>28</v>
      </c>
      <c r="F202" t="s">
        <v>32</v>
      </c>
      <c r="H202" t="s">
        <v>29</v>
      </c>
      <c r="I202" t="s">
        <v>29</v>
      </c>
      <c r="J202" t="s">
        <v>224</v>
      </c>
      <c r="K202" s="13">
        <v>44206</v>
      </c>
      <c r="L202" t="s">
        <v>223</v>
      </c>
      <c r="M202" t="str">
        <f t="shared" si="8"/>
        <v>July</v>
      </c>
      <c r="N202">
        <f t="shared" si="9"/>
        <v>2020</v>
      </c>
    </row>
    <row r="203" spans="1:14" x14ac:dyDescent="0.25">
      <c r="A203">
        <v>201</v>
      </c>
      <c r="B203" s="52">
        <v>44037</v>
      </c>
      <c r="C203" s="2">
        <v>99.95</v>
      </c>
      <c r="D203" t="s">
        <v>275</v>
      </c>
      <c r="E203" t="s">
        <v>28</v>
      </c>
      <c r="F203" t="s">
        <v>35</v>
      </c>
      <c r="H203" t="s">
        <v>29</v>
      </c>
      <c r="I203" t="s">
        <v>29</v>
      </c>
      <c r="J203" t="s">
        <v>224</v>
      </c>
      <c r="K203" s="13">
        <v>44206</v>
      </c>
      <c r="L203" t="s">
        <v>223</v>
      </c>
      <c r="M203" t="str">
        <f t="shared" si="8"/>
        <v>July</v>
      </c>
      <c r="N203">
        <f t="shared" si="9"/>
        <v>2020</v>
      </c>
    </row>
    <row r="204" spans="1:14" x14ac:dyDescent="0.25">
      <c r="A204">
        <v>202</v>
      </c>
      <c r="B204" s="52">
        <v>44036</v>
      </c>
      <c r="C204" s="2">
        <v>32.36</v>
      </c>
      <c r="D204" t="s">
        <v>276</v>
      </c>
      <c r="E204" t="s">
        <v>28</v>
      </c>
      <c r="F204" t="s">
        <v>35</v>
      </c>
      <c r="H204" t="s">
        <v>29</v>
      </c>
      <c r="I204" t="s">
        <v>29</v>
      </c>
      <c r="J204" t="s">
        <v>224</v>
      </c>
      <c r="K204" s="13">
        <v>44206</v>
      </c>
      <c r="L204" t="s">
        <v>223</v>
      </c>
      <c r="M204" t="str">
        <f t="shared" si="8"/>
        <v>July</v>
      </c>
      <c r="N204">
        <f t="shared" si="9"/>
        <v>2020</v>
      </c>
    </row>
    <row r="205" spans="1:14" x14ac:dyDescent="0.25">
      <c r="A205">
        <v>203</v>
      </c>
      <c r="B205" s="52">
        <v>44034</v>
      </c>
      <c r="C205" s="2">
        <v>39.659999999999997</v>
      </c>
      <c r="D205" t="s">
        <v>277</v>
      </c>
      <c r="E205" t="s">
        <v>28</v>
      </c>
      <c r="F205" t="s">
        <v>35</v>
      </c>
      <c r="H205" t="s">
        <v>29</v>
      </c>
      <c r="I205" t="s">
        <v>29</v>
      </c>
      <c r="J205" t="s">
        <v>224</v>
      </c>
      <c r="K205" s="13">
        <v>44206</v>
      </c>
      <c r="L205" t="s">
        <v>223</v>
      </c>
      <c r="M205" t="str">
        <f t="shared" si="8"/>
        <v>July</v>
      </c>
      <c r="N205">
        <f t="shared" si="9"/>
        <v>2020</v>
      </c>
    </row>
    <row r="206" spans="1:14" x14ac:dyDescent="0.25">
      <c r="A206">
        <v>204</v>
      </c>
      <c r="B206" s="52">
        <v>44033</v>
      </c>
      <c r="C206" s="2">
        <v>7.28</v>
      </c>
      <c r="D206" t="s">
        <v>30</v>
      </c>
      <c r="E206" t="s">
        <v>28</v>
      </c>
      <c r="F206" t="s">
        <v>32</v>
      </c>
      <c r="H206" t="s">
        <v>29</v>
      </c>
      <c r="I206" t="s">
        <v>29</v>
      </c>
      <c r="J206" t="s">
        <v>224</v>
      </c>
      <c r="K206" s="13">
        <v>44206</v>
      </c>
      <c r="L206" t="s">
        <v>223</v>
      </c>
      <c r="M206" t="str">
        <f t="shared" si="8"/>
        <v>July</v>
      </c>
      <c r="N206">
        <f t="shared" si="9"/>
        <v>2020</v>
      </c>
    </row>
    <row r="207" spans="1:14" x14ac:dyDescent="0.25">
      <c r="A207">
        <v>205</v>
      </c>
      <c r="B207" s="52">
        <v>44030</v>
      </c>
      <c r="C207" s="2">
        <v>76.239999999999995</v>
      </c>
      <c r="D207" t="s">
        <v>278</v>
      </c>
      <c r="E207" t="s">
        <v>28</v>
      </c>
      <c r="F207" t="s">
        <v>519</v>
      </c>
      <c r="H207" t="s">
        <v>29</v>
      </c>
      <c r="I207" t="s">
        <v>29</v>
      </c>
      <c r="J207" t="s">
        <v>224</v>
      </c>
      <c r="K207" s="13">
        <v>44206</v>
      </c>
      <c r="L207" t="s">
        <v>223</v>
      </c>
      <c r="M207" t="str">
        <f t="shared" si="8"/>
        <v>July</v>
      </c>
      <c r="N207">
        <f t="shared" si="9"/>
        <v>2020</v>
      </c>
    </row>
    <row r="208" spans="1:14" x14ac:dyDescent="0.25">
      <c r="A208">
        <v>206</v>
      </c>
      <c r="B208" s="52">
        <v>44030</v>
      </c>
      <c r="C208" s="2">
        <v>12.94</v>
      </c>
      <c r="D208" t="s">
        <v>279</v>
      </c>
      <c r="E208" t="s">
        <v>28</v>
      </c>
      <c r="F208" t="s">
        <v>519</v>
      </c>
      <c r="H208" t="s">
        <v>29</v>
      </c>
      <c r="I208" t="s">
        <v>29</v>
      </c>
      <c r="J208" t="s">
        <v>224</v>
      </c>
      <c r="K208" s="13">
        <v>44206</v>
      </c>
      <c r="L208" t="s">
        <v>223</v>
      </c>
      <c r="M208" t="str">
        <f t="shared" si="8"/>
        <v>July</v>
      </c>
      <c r="N208">
        <f t="shared" si="9"/>
        <v>2020</v>
      </c>
    </row>
    <row r="209" spans="1:14" x14ac:dyDescent="0.25">
      <c r="A209">
        <v>207</v>
      </c>
      <c r="B209" s="52">
        <v>44031</v>
      </c>
      <c r="C209" s="2">
        <v>172.14</v>
      </c>
      <c r="D209" t="s">
        <v>43</v>
      </c>
      <c r="E209" t="s">
        <v>28</v>
      </c>
      <c r="F209" t="s">
        <v>522</v>
      </c>
      <c r="H209" t="s">
        <v>29</v>
      </c>
      <c r="I209" t="s">
        <v>29</v>
      </c>
      <c r="J209" t="s">
        <v>224</v>
      </c>
      <c r="K209" s="13">
        <v>44206</v>
      </c>
      <c r="L209" t="s">
        <v>223</v>
      </c>
      <c r="M209" t="str">
        <f t="shared" si="8"/>
        <v>July</v>
      </c>
      <c r="N209">
        <f t="shared" si="9"/>
        <v>2020</v>
      </c>
    </row>
    <row r="210" spans="1:14" x14ac:dyDescent="0.25">
      <c r="A210">
        <v>208</v>
      </c>
      <c r="B210" s="52">
        <v>44025</v>
      </c>
      <c r="C210" s="2">
        <v>309.58</v>
      </c>
      <c r="D210" t="s">
        <v>280</v>
      </c>
      <c r="E210" t="s">
        <v>28</v>
      </c>
      <c r="F210" t="s">
        <v>51</v>
      </c>
      <c r="H210" t="s">
        <v>29</v>
      </c>
      <c r="I210" t="s">
        <v>29</v>
      </c>
      <c r="J210" t="s">
        <v>224</v>
      </c>
      <c r="K210" s="13">
        <v>44206</v>
      </c>
      <c r="L210" t="s">
        <v>223</v>
      </c>
      <c r="M210" t="str">
        <f t="shared" si="8"/>
        <v>July</v>
      </c>
      <c r="N210">
        <f t="shared" si="9"/>
        <v>2020</v>
      </c>
    </row>
    <row r="211" spans="1:14" x14ac:dyDescent="0.25">
      <c r="A211">
        <v>209</v>
      </c>
      <c r="B211" s="52">
        <v>44023</v>
      </c>
      <c r="C211" s="2">
        <v>30.77</v>
      </c>
      <c r="D211" t="s">
        <v>281</v>
      </c>
      <c r="E211" t="s">
        <v>28</v>
      </c>
      <c r="F211" t="s">
        <v>53</v>
      </c>
      <c r="G211" t="s">
        <v>514</v>
      </c>
      <c r="H211" t="s">
        <v>29</v>
      </c>
      <c r="I211" t="s">
        <v>29</v>
      </c>
      <c r="J211" t="s">
        <v>224</v>
      </c>
      <c r="K211" s="13">
        <v>44206</v>
      </c>
      <c r="L211" t="s">
        <v>223</v>
      </c>
      <c r="M211" t="str">
        <f t="shared" si="8"/>
        <v>July</v>
      </c>
      <c r="N211">
        <f t="shared" si="9"/>
        <v>2020</v>
      </c>
    </row>
    <row r="212" spans="1:14" x14ac:dyDescent="0.25">
      <c r="A212">
        <v>210</v>
      </c>
      <c r="B212" s="52">
        <v>44024</v>
      </c>
      <c r="C212" s="2">
        <v>79.86</v>
      </c>
      <c r="D212" t="s">
        <v>282</v>
      </c>
      <c r="E212" t="s">
        <v>28</v>
      </c>
      <c r="F212" t="s">
        <v>52</v>
      </c>
      <c r="H212" t="s">
        <v>29</v>
      </c>
      <c r="I212" t="s">
        <v>29</v>
      </c>
      <c r="J212" t="s">
        <v>224</v>
      </c>
      <c r="K212" s="13">
        <v>44206</v>
      </c>
      <c r="L212" t="s">
        <v>223</v>
      </c>
      <c r="M212" t="str">
        <f t="shared" si="8"/>
        <v>July</v>
      </c>
      <c r="N212">
        <f t="shared" si="9"/>
        <v>2020</v>
      </c>
    </row>
    <row r="213" spans="1:14" x14ac:dyDescent="0.25">
      <c r="A213">
        <v>211</v>
      </c>
      <c r="B213" s="52">
        <v>44021</v>
      </c>
      <c r="C213" s="2">
        <v>9.43</v>
      </c>
      <c r="D213" t="s">
        <v>283</v>
      </c>
      <c r="E213" t="s">
        <v>28</v>
      </c>
      <c r="F213" t="s">
        <v>32</v>
      </c>
      <c r="H213" t="s">
        <v>29</v>
      </c>
      <c r="I213" t="s">
        <v>29</v>
      </c>
      <c r="J213" t="s">
        <v>224</v>
      </c>
      <c r="K213" s="13">
        <v>44206</v>
      </c>
      <c r="L213" t="s">
        <v>223</v>
      </c>
      <c r="M213" t="str">
        <f t="shared" si="8"/>
        <v>July</v>
      </c>
      <c r="N213">
        <f t="shared" si="9"/>
        <v>2020</v>
      </c>
    </row>
    <row r="214" spans="1:14" x14ac:dyDescent="0.25">
      <c r="A214">
        <v>212</v>
      </c>
      <c r="B214" s="52">
        <v>44021</v>
      </c>
      <c r="C214" s="2">
        <v>28.33</v>
      </c>
      <c r="D214" t="s">
        <v>44</v>
      </c>
      <c r="E214" t="s">
        <v>28</v>
      </c>
      <c r="F214" t="s">
        <v>519</v>
      </c>
      <c r="H214" t="s">
        <v>29</v>
      </c>
      <c r="I214" t="s">
        <v>29</v>
      </c>
      <c r="J214" t="s">
        <v>224</v>
      </c>
      <c r="K214" s="13">
        <v>44206</v>
      </c>
      <c r="L214" t="s">
        <v>223</v>
      </c>
      <c r="M214" t="str">
        <f t="shared" si="8"/>
        <v>July</v>
      </c>
      <c r="N214">
        <f t="shared" si="9"/>
        <v>2020</v>
      </c>
    </row>
    <row r="215" spans="1:14" x14ac:dyDescent="0.25">
      <c r="A215">
        <v>213</v>
      </c>
      <c r="B215" s="52">
        <v>44019</v>
      </c>
      <c r="C215" s="2">
        <v>4.1900000000000004</v>
      </c>
      <c r="D215" t="s">
        <v>284</v>
      </c>
      <c r="E215" t="s">
        <v>28</v>
      </c>
      <c r="F215" t="s">
        <v>50</v>
      </c>
      <c r="H215" t="s">
        <v>29</v>
      </c>
      <c r="I215" t="s">
        <v>29</v>
      </c>
      <c r="J215" t="s">
        <v>224</v>
      </c>
      <c r="K215" s="13">
        <v>44206</v>
      </c>
      <c r="L215" t="s">
        <v>223</v>
      </c>
      <c r="M215" t="str">
        <f t="shared" si="8"/>
        <v>July</v>
      </c>
      <c r="N215">
        <f t="shared" si="9"/>
        <v>2020</v>
      </c>
    </row>
    <row r="216" spans="1:14" x14ac:dyDescent="0.25">
      <c r="A216">
        <v>214</v>
      </c>
      <c r="B216" s="52">
        <v>44016</v>
      </c>
      <c r="C216" s="2">
        <v>4.2300000000000004</v>
      </c>
      <c r="D216" t="s">
        <v>36</v>
      </c>
      <c r="E216" t="s">
        <v>28</v>
      </c>
      <c r="F216" t="s">
        <v>31</v>
      </c>
      <c r="H216" t="s">
        <v>29</v>
      </c>
      <c r="I216" t="s">
        <v>29</v>
      </c>
      <c r="J216" t="s">
        <v>224</v>
      </c>
      <c r="K216" s="13">
        <v>44206</v>
      </c>
      <c r="L216" t="s">
        <v>223</v>
      </c>
      <c r="M216" t="str">
        <f t="shared" si="8"/>
        <v>July</v>
      </c>
      <c r="N216">
        <f t="shared" si="9"/>
        <v>2020</v>
      </c>
    </row>
    <row r="217" spans="1:14" x14ac:dyDescent="0.25">
      <c r="A217">
        <v>215</v>
      </c>
      <c r="B217" s="52">
        <v>44015</v>
      </c>
      <c r="C217" s="2">
        <v>6.25</v>
      </c>
      <c r="D217" t="s">
        <v>285</v>
      </c>
      <c r="E217" t="s">
        <v>28</v>
      </c>
      <c r="F217" t="s">
        <v>50</v>
      </c>
      <c r="H217" t="s">
        <v>29</v>
      </c>
      <c r="I217" t="s">
        <v>29</v>
      </c>
      <c r="J217" t="s">
        <v>224</v>
      </c>
      <c r="K217" s="13">
        <v>44206</v>
      </c>
      <c r="L217" t="s">
        <v>223</v>
      </c>
      <c r="M217" t="str">
        <f t="shared" si="8"/>
        <v>July</v>
      </c>
      <c r="N217">
        <f t="shared" si="9"/>
        <v>2020</v>
      </c>
    </row>
    <row r="218" spans="1:14" x14ac:dyDescent="0.25">
      <c r="A218">
        <v>216</v>
      </c>
      <c r="B218" s="52">
        <v>44013</v>
      </c>
      <c r="C218" s="2">
        <v>16.73</v>
      </c>
      <c r="D218" t="s">
        <v>248</v>
      </c>
      <c r="E218" t="s">
        <v>28</v>
      </c>
      <c r="F218" t="s">
        <v>50</v>
      </c>
      <c r="H218" t="s">
        <v>29</v>
      </c>
      <c r="I218" t="s">
        <v>29</v>
      </c>
      <c r="J218" t="s">
        <v>224</v>
      </c>
      <c r="K218" s="13">
        <v>44206</v>
      </c>
      <c r="L218" t="s">
        <v>223</v>
      </c>
      <c r="M218" t="str">
        <f t="shared" si="8"/>
        <v>July</v>
      </c>
      <c r="N218">
        <f t="shared" si="9"/>
        <v>2020</v>
      </c>
    </row>
    <row r="219" spans="1:14" x14ac:dyDescent="0.25">
      <c r="A219">
        <v>217</v>
      </c>
      <c r="B219" s="52">
        <v>44013</v>
      </c>
      <c r="C219" s="2">
        <v>57.2</v>
      </c>
      <c r="D219" t="s">
        <v>286</v>
      </c>
      <c r="E219" t="s">
        <v>28</v>
      </c>
      <c r="F219" t="s">
        <v>520</v>
      </c>
      <c r="H219" t="s">
        <v>29</v>
      </c>
      <c r="I219" t="s">
        <v>29</v>
      </c>
      <c r="J219" t="s">
        <v>224</v>
      </c>
      <c r="K219" s="13">
        <v>44206</v>
      </c>
      <c r="L219" t="s">
        <v>223</v>
      </c>
      <c r="M219" t="str">
        <f t="shared" si="8"/>
        <v>July</v>
      </c>
      <c r="N219">
        <f t="shared" si="9"/>
        <v>2020</v>
      </c>
    </row>
    <row r="220" spans="1:14" x14ac:dyDescent="0.25">
      <c r="A220">
        <v>218</v>
      </c>
      <c r="B220" s="52">
        <v>44009</v>
      </c>
      <c r="C220" s="2">
        <v>23.75</v>
      </c>
      <c r="D220" t="s">
        <v>41</v>
      </c>
      <c r="E220" t="s">
        <v>28</v>
      </c>
      <c r="F220" t="s">
        <v>32</v>
      </c>
      <c r="G220" t="s">
        <v>512</v>
      </c>
      <c r="H220" t="s">
        <v>29</v>
      </c>
      <c r="I220" t="s">
        <v>29</v>
      </c>
      <c r="J220" t="s">
        <v>224</v>
      </c>
      <c r="K220" s="13">
        <v>44206</v>
      </c>
      <c r="L220" t="s">
        <v>223</v>
      </c>
      <c r="M220" t="str">
        <f t="shared" si="8"/>
        <v>June</v>
      </c>
      <c r="N220">
        <f t="shared" si="9"/>
        <v>2020</v>
      </c>
    </row>
    <row r="221" spans="1:14" x14ac:dyDescent="0.25">
      <c r="A221">
        <v>219</v>
      </c>
      <c r="B221" s="52">
        <v>44009</v>
      </c>
      <c r="C221" s="2">
        <v>24.52</v>
      </c>
      <c r="D221" t="s">
        <v>40</v>
      </c>
      <c r="E221" t="s">
        <v>28</v>
      </c>
      <c r="F221" t="s">
        <v>50</v>
      </c>
      <c r="H221" t="s">
        <v>29</v>
      </c>
      <c r="I221" t="s">
        <v>29</v>
      </c>
      <c r="J221" t="s">
        <v>224</v>
      </c>
      <c r="K221" s="13">
        <v>44206</v>
      </c>
      <c r="L221" t="s">
        <v>223</v>
      </c>
      <c r="M221" t="str">
        <f t="shared" si="8"/>
        <v>June</v>
      </c>
      <c r="N221">
        <f t="shared" si="9"/>
        <v>2020</v>
      </c>
    </row>
    <row r="222" spans="1:14" x14ac:dyDescent="0.25">
      <c r="A222">
        <v>220</v>
      </c>
      <c r="B222" s="52">
        <v>44008</v>
      </c>
      <c r="C222" s="2">
        <v>7.16</v>
      </c>
      <c r="D222" t="s">
        <v>285</v>
      </c>
      <c r="E222" t="s">
        <v>28</v>
      </c>
      <c r="F222" t="s">
        <v>50</v>
      </c>
      <c r="H222" t="s">
        <v>29</v>
      </c>
      <c r="I222" t="s">
        <v>29</v>
      </c>
      <c r="J222" t="s">
        <v>224</v>
      </c>
      <c r="K222" s="13">
        <v>44206</v>
      </c>
      <c r="L222" t="s">
        <v>223</v>
      </c>
      <c r="M222" t="str">
        <f t="shared" si="8"/>
        <v>June</v>
      </c>
      <c r="N222">
        <f t="shared" si="9"/>
        <v>2020</v>
      </c>
    </row>
    <row r="223" spans="1:14" x14ac:dyDescent="0.25">
      <c r="A223">
        <v>221</v>
      </c>
      <c r="B223" s="52">
        <v>44008</v>
      </c>
      <c r="C223" s="2">
        <v>56.06</v>
      </c>
      <c r="D223" t="s">
        <v>38</v>
      </c>
      <c r="E223" t="s">
        <v>28</v>
      </c>
      <c r="F223" t="s">
        <v>522</v>
      </c>
      <c r="H223" t="s">
        <v>29</v>
      </c>
      <c r="I223" t="s">
        <v>29</v>
      </c>
      <c r="J223" t="s">
        <v>224</v>
      </c>
      <c r="K223" s="13">
        <v>44206</v>
      </c>
      <c r="L223" t="s">
        <v>223</v>
      </c>
      <c r="M223" t="str">
        <f t="shared" si="8"/>
        <v>June</v>
      </c>
      <c r="N223">
        <f t="shared" si="9"/>
        <v>2020</v>
      </c>
    </row>
    <row r="224" spans="1:14" x14ac:dyDescent="0.25">
      <c r="A224">
        <v>222</v>
      </c>
      <c r="B224" s="52">
        <v>44008</v>
      </c>
      <c r="C224" s="2">
        <v>69</v>
      </c>
      <c r="D224" t="s">
        <v>287</v>
      </c>
      <c r="E224" t="s">
        <v>28</v>
      </c>
      <c r="F224" t="s">
        <v>35</v>
      </c>
      <c r="H224" t="s">
        <v>29</v>
      </c>
      <c r="I224" t="s">
        <v>29</v>
      </c>
      <c r="J224" t="s">
        <v>224</v>
      </c>
      <c r="K224" s="13">
        <v>44206</v>
      </c>
      <c r="L224" t="s">
        <v>223</v>
      </c>
      <c r="M224" t="str">
        <f t="shared" si="8"/>
        <v>June</v>
      </c>
      <c r="N224">
        <f t="shared" si="9"/>
        <v>2020</v>
      </c>
    </row>
    <row r="225" spans="1:14" x14ac:dyDescent="0.25">
      <c r="A225">
        <v>223</v>
      </c>
      <c r="B225" s="52">
        <v>44005</v>
      </c>
      <c r="C225" s="2">
        <v>27.14</v>
      </c>
      <c r="D225" t="s">
        <v>260</v>
      </c>
      <c r="E225" t="s">
        <v>28</v>
      </c>
      <c r="F225" t="s">
        <v>520</v>
      </c>
      <c r="H225" t="s">
        <v>29</v>
      </c>
      <c r="I225" t="s">
        <v>29</v>
      </c>
      <c r="J225" t="s">
        <v>224</v>
      </c>
      <c r="K225" s="13">
        <v>44206</v>
      </c>
      <c r="L225" t="s">
        <v>223</v>
      </c>
      <c r="M225" t="str">
        <f t="shared" si="8"/>
        <v>June</v>
      </c>
      <c r="N225">
        <f t="shared" si="9"/>
        <v>2020</v>
      </c>
    </row>
    <row r="226" spans="1:14" x14ac:dyDescent="0.25">
      <c r="A226">
        <v>224</v>
      </c>
      <c r="B226" s="52">
        <v>44002</v>
      </c>
      <c r="C226" s="2">
        <v>30.66</v>
      </c>
      <c r="D226" t="s">
        <v>288</v>
      </c>
      <c r="E226" t="s">
        <v>28</v>
      </c>
      <c r="F226" t="s">
        <v>32</v>
      </c>
      <c r="G226" t="s">
        <v>513</v>
      </c>
      <c r="H226" t="s">
        <v>29</v>
      </c>
      <c r="I226" t="s">
        <v>29</v>
      </c>
      <c r="J226" t="s">
        <v>224</v>
      </c>
      <c r="K226" s="13">
        <v>44206</v>
      </c>
      <c r="L226" t="s">
        <v>223</v>
      </c>
      <c r="M226" t="str">
        <f t="shared" si="8"/>
        <v>June</v>
      </c>
      <c r="N226">
        <f t="shared" si="9"/>
        <v>2020</v>
      </c>
    </row>
    <row r="227" spans="1:14" x14ac:dyDescent="0.25">
      <c r="A227">
        <v>225</v>
      </c>
      <c r="B227" s="52">
        <v>44001</v>
      </c>
      <c r="C227" s="2">
        <v>11.66</v>
      </c>
      <c r="D227" t="s">
        <v>289</v>
      </c>
      <c r="E227" t="s">
        <v>28</v>
      </c>
      <c r="F227" t="s">
        <v>50</v>
      </c>
      <c r="H227" t="s">
        <v>29</v>
      </c>
      <c r="I227" t="s">
        <v>29</v>
      </c>
      <c r="J227" t="s">
        <v>224</v>
      </c>
      <c r="K227" s="13">
        <v>44206</v>
      </c>
      <c r="L227" t="s">
        <v>223</v>
      </c>
      <c r="M227" t="str">
        <f t="shared" si="8"/>
        <v>June</v>
      </c>
      <c r="N227">
        <f t="shared" si="9"/>
        <v>2020</v>
      </c>
    </row>
    <row r="228" spans="1:14" x14ac:dyDescent="0.25">
      <c r="A228">
        <v>226</v>
      </c>
      <c r="B228" s="52">
        <v>44001</v>
      </c>
      <c r="C228" s="2">
        <v>36.799999999999997</v>
      </c>
      <c r="D228" t="s">
        <v>40</v>
      </c>
      <c r="E228" t="s">
        <v>28</v>
      </c>
      <c r="F228" t="s">
        <v>50</v>
      </c>
      <c r="H228" t="s">
        <v>29</v>
      </c>
      <c r="I228" t="s">
        <v>29</v>
      </c>
      <c r="J228" t="s">
        <v>224</v>
      </c>
      <c r="K228" s="13">
        <v>44206</v>
      </c>
      <c r="L228" t="s">
        <v>223</v>
      </c>
      <c r="M228" t="str">
        <f t="shared" si="8"/>
        <v>June</v>
      </c>
      <c r="N228">
        <f t="shared" si="9"/>
        <v>2020</v>
      </c>
    </row>
    <row r="229" spans="1:14" x14ac:dyDescent="0.25">
      <c r="A229">
        <v>227</v>
      </c>
      <c r="B229" s="52">
        <v>44001</v>
      </c>
      <c r="C229" s="2">
        <v>60</v>
      </c>
      <c r="D229" t="s">
        <v>290</v>
      </c>
      <c r="E229" t="s">
        <v>28</v>
      </c>
      <c r="F229" t="s">
        <v>52</v>
      </c>
      <c r="H229" t="s">
        <v>29</v>
      </c>
      <c r="I229" t="s">
        <v>29</v>
      </c>
      <c r="J229" t="s">
        <v>224</v>
      </c>
      <c r="K229" s="13">
        <v>44206</v>
      </c>
      <c r="L229" t="s">
        <v>223</v>
      </c>
      <c r="M229" t="str">
        <f t="shared" si="8"/>
        <v>June</v>
      </c>
      <c r="N229">
        <f t="shared" si="9"/>
        <v>2020</v>
      </c>
    </row>
    <row r="230" spans="1:14" x14ac:dyDescent="0.25">
      <c r="A230">
        <v>228</v>
      </c>
      <c r="B230" s="52">
        <v>44000</v>
      </c>
      <c r="C230" s="2">
        <v>10.18</v>
      </c>
      <c r="D230" t="s">
        <v>284</v>
      </c>
      <c r="E230" t="s">
        <v>28</v>
      </c>
      <c r="F230" t="s">
        <v>50</v>
      </c>
      <c r="H230" t="s">
        <v>29</v>
      </c>
      <c r="I230" t="s">
        <v>29</v>
      </c>
      <c r="J230" t="s">
        <v>224</v>
      </c>
      <c r="K230" s="13">
        <v>44206</v>
      </c>
      <c r="L230" t="s">
        <v>223</v>
      </c>
      <c r="M230" t="str">
        <f t="shared" si="8"/>
        <v>June</v>
      </c>
      <c r="N230">
        <f t="shared" si="9"/>
        <v>2020</v>
      </c>
    </row>
    <row r="231" spans="1:14" x14ac:dyDescent="0.25">
      <c r="A231">
        <v>229</v>
      </c>
      <c r="B231" s="52">
        <v>44001</v>
      </c>
      <c r="C231" s="2">
        <v>58.3</v>
      </c>
      <c r="D231" t="s">
        <v>291</v>
      </c>
      <c r="E231" t="s">
        <v>28</v>
      </c>
      <c r="F231" t="s">
        <v>52</v>
      </c>
      <c r="H231" t="s">
        <v>29</v>
      </c>
      <c r="I231" t="s">
        <v>29</v>
      </c>
      <c r="J231" t="s">
        <v>224</v>
      </c>
      <c r="K231" s="13">
        <v>44206</v>
      </c>
      <c r="L231" t="s">
        <v>223</v>
      </c>
      <c r="M231" t="str">
        <f t="shared" si="8"/>
        <v>June</v>
      </c>
      <c r="N231">
        <f t="shared" si="9"/>
        <v>2020</v>
      </c>
    </row>
    <row r="232" spans="1:14" x14ac:dyDescent="0.25">
      <c r="A232">
        <v>230</v>
      </c>
      <c r="B232" s="52">
        <v>43999</v>
      </c>
      <c r="C232" s="2">
        <v>12.13</v>
      </c>
      <c r="D232" t="s">
        <v>41</v>
      </c>
      <c r="E232" t="s">
        <v>28</v>
      </c>
      <c r="F232" t="s">
        <v>32</v>
      </c>
      <c r="G232" t="s">
        <v>512</v>
      </c>
      <c r="H232" t="s">
        <v>29</v>
      </c>
      <c r="I232" t="s">
        <v>29</v>
      </c>
      <c r="J232" t="s">
        <v>224</v>
      </c>
      <c r="K232" s="13">
        <v>44206</v>
      </c>
      <c r="L232" t="s">
        <v>223</v>
      </c>
      <c r="M232" t="str">
        <f t="shared" si="8"/>
        <v>June</v>
      </c>
      <c r="N232">
        <f t="shared" si="9"/>
        <v>2020</v>
      </c>
    </row>
    <row r="233" spans="1:14" x14ac:dyDescent="0.25">
      <c r="A233">
        <v>231</v>
      </c>
      <c r="B233" s="52">
        <v>43998</v>
      </c>
      <c r="C233" s="2">
        <v>21.81</v>
      </c>
      <c r="D233" t="s">
        <v>292</v>
      </c>
      <c r="E233" t="s">
        <v>28</v>
      </c>
      <c r="F233" t="s">
        <v>50</v>
      </c>
      <c r="H233" t="s">
        <v>29</v>
      </c>
      <c r="I233" t="s">
        <v>29</v>
      </c>
      <c r="J233" t="s">
        <v>224</v>
      </c>
      <c r="K233" s="13">
        <v>44206</v>
      </c>
      <c r="L233" t="s">
        <v>223</v>
      </c>
      <c r="M233" t="str">
        <f t="shared" si="8"/>
        <v>June</v>
      </c>
      <c r="N233">
        <f t="shared" si="9"/>
        <v>2020</v>
      </c>
    </row>
    <row r="234" spans="1:14" x14ac:dyDescent="0.25">
      <c r="A234">
        <v>232</v>
      </c>
      <c r="B234" s="52">
        <v>43996</v>
      </c>
      <c r="C234" s="2">
        <v>56.37</v>
      </c>
      <c r="D234" t="s">
        <v>293</v>
      </c>
      <c r="E234" t="s">
        <v>28</v>
      </c>
      <c r="F234" t="s">
        <v>32</v>
      </c>
      <c r="H234" t="s">
        <v>29</v>
      </c>
      <c r="I234" t="s">
        <v>29</v>
      </c>
      <c r="J234" t="s">
        <v>224</v>
      </c>
      <c r="K234" s="13">
        <v>44206</v>
      </c>
      <c r="L234" t="s">
        <v>223</v>
      </c>
      <c r="M234" t="str">
        <f t="shared" si="8"/>
        <v>June</v>
      </c>
      <c r="N234">
        <f t="shared" si="9"/>
        <v>2020</v>
      </c>
    </row>
    <row r="235" spans="1:14" x14ac:dyDescent="0.25">
      <c r="A235">
        <v>233</v>
      </c>
      <c r="B235" s="52">
        <v>43996</v>
      </c>
      <c r="C235" s="2">
        <v>6.18</v>
      </c>
      <c r="D235" t="s">
        <v>294</v>
      </c>
      <c r="E235" t="s">
        <v>28</v>
      </c>
      <c r="F235" t="s">
        <v>50</v>
      </c>
      <c r="H235" t="s">
        <v>29</v>
      </c>
      <c r="I235" t="s">
        <v>29</v>
      </c>
      <c r="J235" t="s">
        <v>224</v>
      </c>
      <c r="K235" s="13">
        <v>44206</v>
      </c>
      <c r="L235" t="s">
        <v>223</v>
      </c>
      <c r="M235" t="str">
        <f t="shared" si="8"/>
        <v>June</v>
      </c>
      <c r="N235">
        <f t="shared" si="9"/>
        <v>2020</v>
      </c>
    </row>
    <row r="236" spans="1:14" x14ac:dyDescent="0.25">
      <c r="A236">
        <v>234</v>
      </c>
      <c r="B236" s="52">
        <v>43994</v>
      </c>
      <c r="C236" s="2">
        <v>58.24</v>
      </c>
      <c r="D236" t="s">
        <v>271</v>
      </c>
      <c r="E236" t="s">
        <v>28</v>
      </c>
      <c r="F236" t="s">
        <v>33</v>
      </c>
      <c r="H236" t="s">
        <v>29</v>
      </c>
      <c r="I236" t="s">
        <v>29</v>
      </c>
      <c r="J236" t="s">
        <v>224</v>
      </c>
      <c r="K236" s="13">
        <v>44206</v>
      </c>
      <c r="L236" t="s">
        <v>223</v>
      </c>
      <c r="M236" t="str">
        <f t="shared" si="8"/>
        <v>June</v>
      </c>
      <c r="N236">
        <f t="shared" si="9"/>
        <v>2020</v>
      </c>
    </row>
    <row r="237" spans="1:14" x14ac:dyDescent="0.25">
      <c r="A237">
        <v>235</v>
      </c>
      <c r="B237" s="52">
        <v>43994</v>
      </c>
      <c r="C237" s="2">
        <v>24.12</v>
      </c>
      <c r="D237" t="s">
        <v>295</v>
      </c>
      <c r="E237" t="s">
        <v>28</v>
      </c>
      <c r="F237" t="s">
        <v>32</v>
      </c>
      <c r="G237" t="s">
        <v>513</v>
      </c>
      <c r="H237" t="s">
        <v>29</v>
      </c>
      <c r="I237" t="s">
        <v>29</v>
      </c>
      <c r="J237" t="s">
        <v>224</v>
      </c>
      <c r="K237" s="13">
        <v>44206</v>
      </c>
      <c r="L237" t="s">
        <v>223</v>
      </c>
      <c r="M237" t="str">
        <f t="shared" si="8"/>
        <v>June</v>
      </c>
      <c r="N237">
        <f t="shared" si="9"/>
        <v>2020</v>
      </c>
    </row>
    <row r="238" spans="1:14" x14ac:dyDescent="0.25">
      <c r="A238">
        <v>236</v>
      </c>
      <c r="B238" s="52">
        <v>43992</v>
      </c>
      <c r="C238" s="2">
        <v>40.630000000000003</v>
      </c>
      <c r="D238" t="s">
        <v>296</v>
      </c>
      <c r="E238" t="s">
        <v>28</v>
      </c>
      <c r="F238" t="s">
        <v>55</v>
      </c>
      <c r="H238" t="s">
        <v>29</v>
      </c>
      <c r="I238" t="s">
        <v>29</v>
      </c>
      <c r="J238" t="s">
        <v>224</v>
      </c>
      <c r="K238" s="13">
        <v>44206</v>
      </c>
      <c r="L238" t="s">
        <v>223</v>
      </c>
      <c r="M238" t="str">
        <f t="shared" si="8"/>
        <v>June</v>
      </c>
      <c r="N238">
        <f t="shared" si="9"/>
        <v>2020</v>
      </c>
    </row>
    <row r="239" spans="1:14" x14ac:dyDescent="0.25">
      <c r="A239">
        <v>237</v>
      </c>
      <c r="B239" s="52">
        <v>43990</v>
      </c>
      <c r="C239" s="2">
        <v>106.54</v>
      </c>
      <c r="D239" t="s">
        <v>295</v>
      </c>
      <c r="E239" t="s">
        <v>28</v>
      </c>
      <c r="F239" t="s">
        <v>32</v>
      </c>
      <c r="G239" t="s">
        <v>513</v>
      </c>
      <c r="H239" t="s">
        <v>29</v>
      </c>
      <c r="I239" t="s">
        <v>29</v>
      </c>
      <c r="J239" t="s">
        <v>224</v>
      </c>
      <c r="K239" s="13">
        <v>44206</v>
      </c>
      <c r="L239" t="s">
        <v>223</v>
      </c>
      <c r="M239" t="str">
        <f t="shared" si="8"/>
        <v>June</v>
      </c>
      <c r="N239">
        <f t="shared" si="9"/>
        <v>2020</v>
      </c>
    </row>
    <row r="240" spans="1:14" x14ac:dyDescent="0.25">
      <c r="A240">
        <v>238</v>
      </c>
      <c r="B240" s="52">
        <v>43990</v>
      </c>
      <c r="C240" s="2">
        <v>45.55</v>
      </c>
      <c r="D240" t="s">
        <v>295</v>
      </c>
      <c r="E240" t="s">
        <v>28</v>
      </c>
      <c r="F240" t="s">
        <v>32</v>
      </c>
      <c r="G240" t="s">
        <v>513</v>
      </c>
      <c r="H240" t="s">
        <v>29</v>
      </c>
      <c r="I240" t="s">
        <v>29</v>
      </c>
      <c r="J240" t="s">
        <v>224</v>
      </c>
      <c r="K240" s="13">
        <v>44206</v>
      </c>
      <c r="L240" t="s">
        <v>223</v>
      </c>
      <c r="M240" t="str">
        <f t="shared" si="8"/>
        <v>June</v>
      </c>
      <c r="N240">
        <f t="shared" si="9"/>
        <v>2020</v>
      </c>
    </row>
    <row r="241" spans="1:14" x14ac:dyDescent="0.25">
      <c r="A241">
        <v>239</v>
      </c>
      <c r="B241" s="52">
        <v>43986</v>
      </c>
      <c r="C241" s="2">
        <v>98.84</v>
      </c>
      <c r="D241" t="s">
        <v>297</v>
      </c>
      <c r="E241" t="s">
        <v>28</v>
      </c>
      <c r="F241" t="s">
        <v>35</v>
      </c>
      <c r="H241" t="s">
        <v>29</v>
      </c>
      <c r="I241" t="s">
        <v>29</v>
      </c>
      <c r="J241" t="s">
        <v>224</v>
      </c>
      <c r="K241" s="13">
        <v>44206</v>
      </c>
      <c r="L241" t="s">
        <v>223</v>
      </c>
      <c r="M241" t="str">
        <f t="shared" si="8"/>
        <v>June</v>
      </c>
      <c r="N241">
        <f t="shared" si="9"/>
        <v>2020</v>
      </c>
    </row>
    <row r="242" spans="1:14" x14ac:dyDescent="0.25">
      <c r="A242">
        <v>240</v>
      </c>
      <c r="B242" s="52">
        <v>43986</v>
      </c>
      <c r="C242" s="2">
        <v>4.2300000000000004</v>
      </c>
      <c r="D242" t="s">
        <v>36</v>
      </c>
      <c r="E242" t="s">
        <v>28</v>
      </c>
      <c r="F242" t="s">
        <v>31</v>
      </c>
      <c r="H242" t="s">
        <v>29</v>
      </c>
      <c r="I242" t="s">
        <v>29</v>
      </c>
      <c r="J242" t="s">
        <v>224</v>
      </c>
      <c r="K242" s="13">
        <v>44206</v>
      </c>
      <c r="L242" t="s">
        <v>223</v>
      </c>
      <c r="M242" t="str">
        <f t="shared" si="8"/>
        <v>June</v>
      </c>
      <c r="N242">
        <f t="shared" si="9"/>
        <v>2020</v>
      </c>
    </row>
    <row r="243" spans="1:14" x14ac:dyDescent="0.25">
      <c r="A243">
        <v>241</v>
      </c>
      <c r="B243" s="52">
        <v>43984</v>
      </c>
      <c r="C243" s="2">
        <v>103.83</v>
      </c>
      <c r="D243" t="s">
        <v>298</v>
      </c>
      <c r="E243" t="s">
        <v>28</v>
      </c>
      <c r="F243" t="s">
        <v>52</v>
      </c>
      <c r="H243" t="s">
        <v>29</v>
      </c>
      <c r="I243" t="s">
        <v>29</v>
      </c>
      <c r="J243" t="s">
        <v>224</v>
      </c>
      <c r="K243" s="13">
        <v>44206</v>
      </c>
      <c r="L243" t="s">
        <v>223</v>
      </c>
      <c r="M243" t="str">
        <f t="shared" si="8"/>
        <v>June</v>
      </c>
      <c r="N243">
        <f t="shared" si="9"/>
        <v>2020</v>
      </c>
    </row>
    <row r="244" spans="1:14" x14ac:dyDescent="0.25">
      <c r="A244">
        <v>242</v>
      </c>
      <c r="B244" s="52">
        <v>43983</v>
      </c>
      <c r="C244" s="2">
        <v>51.38</v>
      </c>
      <c r="D244" t="s">
        <v>296</v>
      </c>
      <c r="E244" t="s">
        <v>28</v>
      </c>
      <c r="F244" t="s">
        <v>55</v>
      </c>
      <c r="H244" t="s">
        <v>29</v>
      </c>
      <c r="I244" t="s">
        <v>29</v>
      </c>
      <c r="J244" t="s">
        <v>224</v>
      </c>
      <c r="K244" s="13">
        <v>44206</v>
      </c>
      <c r="L244" t="s">
        <v>223</v>
      </c>
      <c r="M244" t="str">
        <f t="shared" si="8"/>
        <v>June</v>
      </c>
      <c r="N244">
        <f t="shared" si="9"/>
        <v>2020</v>
      </c>
    </row>
    <row r="245" spans="1:14" x14ac:dyDescent="0.25">
      <c r="A245">
        <v>243</v>
      </c>
      <c r="B245" s="52">
        <v>43978</v>
      </c>
      <c r="C245" s="2">
        <v>18.600000000000001</v>
      </c>
      <c r="D245" t="s">
        <v>299</v>
      </c>
      <c r="E245" t="s">
        <v>28</v>
      </c>
      <c r="F245" t="s">
        <v>50</v>
      </c>
      <c r="H245" t="s">
        <v>29</v>
      </c>
      <c r="I245" t="s">
        <v>29</v>
      </c>
      <c r="J245" t="s">
        <v>224</v>
      </c>
      <c r="K245" s="13">
        <v>44206</v>
      </c>
      <c r="L245" t="s">
        <v>223</v>
      </c>
      <c r="M245" t="str">
        <f t="shared" si="8"/>
        <v>May</v>
      </c>
      <c r="N245">
        <f t="shared" si="9"/>
        <v>2020</v>
      </c>
    </row>
    <row r="246" spans="1:14" x14ac:dyDescent="0.25">
      <c r="A246">
        <v>244</v>
      </c>
      <c r="B246" s="52">
        <v>43975</v>
      </c>
      <c r="C246" s="2">
        <v>41.57</v>
      </c>
      <c r="D246" t="s">
        <v>41</v>
      </c>
      <c r="E246" t="s">
        <v>28</v>
      </c>
      <c r="F246" t="s">
        <v>32</v>
      </c>
      <c r="G246" t="s">
        <v>512</v>
      </c>
      <c r="H246" t="s">
        <v>29</v>
      </c>
      <c r="I246" t="s">
        <v>29</v>
      </c>
      <c r="J246" t="s">
        <v>224</v>
      </c>
      <c r="K246" s="13">
        <v>44206</v>
      </c>
      <c r="L246" t="s">
        <v>223</v>
      </c>
      <c r="M246" t="str">
        <f t="shared" si="8"/>
        <v>May</v>
      </c>
      <c r="N246">
        <f t="shared" si="9"/>
        <v>2020</v>
      </c>
    </row>
    <row r="247" spans="1:14" x14ac:dyDescent="0.25">
      <c r="A247">
        <v>245</v>
      </c>
      <c r="B247" s="52">
        <v>43972</v>
      </c>
      <c r="C247" s="2">
        <v>29.87</v>
      </c>
      <c r="D247" t="s">
        <v>30</v>
      </c>
      <c r="E247" t="s">
        <v>28</v>
      </c>
      <c r="F247" t="s">
        <v>32</v>
      </c>
      <c r="H247" t="s">
        <v>29</v>
      </c>
      <c r="I247" t="s">
        <v>29</v>
      </c>
      <c r="J247" t="s">
        <v>224</v>
      </c>
      <c r="K247" s="13">
        <v>44206</v>
      </c>
      <c r="L247" t="s">
        <v>223</v>
      </c>
      <c r="M247" t="str">
        <f t="shared" si="8"/>
        <v>May</v>
      </c>
      <c r="N247">
        <f t="shared" si="9"/>
        <v>2020</v>
      </c>
    </row>
    <row r="248" spans="1:14" x14ac:dyDescent="0.25">
      <c r="A248">
        <v>246</v>
      </c>
      <c r="B248" s="52">
        <v>43972</v>
      </c>
      <c r="C248" s="2">
        <v>27</v>
      </c>
      <c r="D248" t="s">
        <v>300</v>
      </c>
      <c r="E248" t="s">
        <v>28</v>
      </c>
      <c r="F248" t="s">
        <v>54</v>
      </c>
      <c r="H248" t="s">
        <v>29</v>
      </c>
      <c r="I248" t="s">
        <v>29</v>
      </c>
      <c r="J248" t="s">
        <v>224</v>
      </c>
      <c r="K248" s="13">
        <v>44206</v>
      </c>
      <c r="L248" t="s">
        <v>223</v>
      </c>
      <c r="M248" t="str">
        <f t="shared" si="8"/>
        <v>May</v>
      </c>
      <c r="N248">
        <f t="shared" si="9"/>
        <v>2020</v>
      </c>
    </row>
    <row r="249" spans="1:14" x14ac:dyDescent="0.25">
      <c r="A249">
        <v>247</v>
      </c>
      <c r="B249" s="52">
        <v>43970</v>
      </c>
      <c r="C249" s="2">
        <v>19.989999999999998</v>
      </c>
      <c r="D249" t="s">
        <v>295</v>
      </c>
      <c r="E249" t="s">
        <v>28</v>
      </c>
      <c r="F249" t="s">
        <v>32</v>
      </c>
      <c r="G249" t="s">
        <v>513</v>
      </c>
      <c r="H249" t="s">
        <v>29</v>
      </c>
      <c r="I249" t="s">
        <v>29</v>
      </c>
      <c r="J249" t="s">
        <v>224</v>
      </c>
      <c r="K249" s="13">
        <v>44206</v>
      </c>
      <c r="L249" t="s">
        <v>223</v>
      </c>
      <c r="M249" t="str">
        <f t="shared" si="8"/>
        <v>May</v>
      </c>
      <c r="N249">
        <f t="shared" si="9"/>
        <v>2020</v>
      </c>
    </row>
    <row r="250" spans="1:14" x14ac:dyDescent="0.25">
      <c r="A250">
        <v>248</v>
      </c>
      <c r="B250" s="52">
        <v>43970</v>
      </c>
      <c r="C250" s="2">
        <v>59.78</v>
      </c>
      <c r="D250" t="s">
        <v>301</v>
      </c>
      <c r="E250" t="s">
        <v>28</v>
      </c>
      <c r="F250" t="s">
        <v>522</v>
      </c>
      <c r="H250" t="s">
        <v>29</v>
      </c>
      <c r="I250" t="s">
        <v>29</v>
      </c>
      <c r="J250" t="s">
        <v>224</v>
      </c>
      <c r="K250" s="13">
        <v>44206</v>
      </c>
      <c r="L250" t="s">
        <v>223</v>
      </c>
      <c r="M250" t="str">
        <f t="shared" si="8"/>
        <v>May</v>
      </c>
      <c r="N250">
        <f t="shared" si="9"/>
        <v>2020</v>
      </c>
    </row>
    <row r="251" spans="1:14" x14ac:dyDescent="0.25">
      <c r="A251">
        <v>249</v>
      </c>
      <c r="B251" s="52">
        <v>43968</v>
      </c>
      <c r="C251" s="2">
        <v>93.18</v>
      </c>
      <c r="D251" t="s">
        <v>302</v>
      </c>
      <c r="E251" t="s">
        <v>28</v>
      </c>
      <c r="F251" t="s">
        <v>519</v>
      </c>
      <c r="H251" t="s">
        <v>29</v>
      </c>
      <c r="I251" t="s">
        <v>29</v>
      </c>
      <c r="J251" t="s">
        <v>224</v>
      </c>
      <c r="K251" s="13">
        <v>44206</v>
      </c>
      <c r="L251" t="s">
        <v>223</v>
      </c>
      <c r="M251" t="str">
        <f t="shared" si="8"/>
        <v>May</v>
      </c>
      <c r="N251">
        <f t="shared" si="9"/>
        <v>2020</v>
      </c>
    </row>
    <row r="252" spans="1:14" x14ac:dyDescent="0.25">
      <c r="A252">
        <v>250</v>
      </c>
      <c r="B252" s="52">
        <v>43963</v>
      </c>
      <c r="C252" s="2">
        <v>24.37</v>
      </c>
      <c r="D252" t="s">
        <v>303</v>
      </c>
      <c r="E252" t="s">
        <v>28</v>
      </c>
      <c r="F252" t="s">
        <v>50</v>
      </c>
      <c r="H252" t="s">
        <v>29</v>
      </c>
      <c r="I252" t="s">
        <v>29</v>
      </c>
      <c r="J252" t="s">
        <v>224</v>
      </c>
      <c r="K252" s="13">
        <v>44206</v>
      </c>
      <c r="L252" t="s">
        <v>223</v>
      </c>
      <c r="M252" t="str">
        <f t="shared" si="8"/>
        <v>May</v>
      </c>
      <c r="N252">
        <f t="shared" si="9"/>
        <v>2020</v>
      </c>
    </row>
    <row r="253" spans="1:14" x14ac:dyDescent="0.25">
      <c r="A253">
        <v>251</v>
      </c>
      <c r="B253" s="52">
        <v>43956</v>
      </c>
      <c r="C253" s="2">
        <v>172.8</v>
      </c>
      <c r="D253" t="s">
        <v>304</v>
      </c>
      <c r="E253" t="s">
        <v>28</v>
      </c>
      <c r="F253" t="s">
        <v>35</v>
      </c>
      <c r="H253" t="s">
        <v>29</v>
      </c>
      <c r="I253" t="s">
        <v>29</v>
      </c>
      <c r="J253" t="s">
        <v>224</v>
      </c>
      <c r="K253" s="13">
        <v>44206</v>
      </c>
      <c r="L253" t="s">
        <v>223</v>
      </c>
      <c r="M253" t="str">
        <f t="shared" si="8"/>
        <v>May</v>
      </c>
      <c r="N253">
        <f t="shared" si="9"/>
        <v>2020</v>
      </c>
    </row>
    <row r="254" spans="1:14" x14ac:dyDescent="0.25">
      <c r="A254">
        <v>252</v>
      </c>
      <c r="B254" s="52">
        <v>43956</v>
      </c>
      <c r="C254" s="2">
        <v>4.2300000000000004</v>
      </c>
      <c r="D254" t="s">
        <v>36</v>
      </c>
      <c r="E254" t="s">
        <v>28</v>
      </c>
      <c r="F254" t="s">
        <v>31</v>
      </c>
      <c r="H254" t="s">
        <v>29</v>
      </c>
      <c r="I254" t="s">
        <v>29</v>
      </c>
      <c r="J254" t="s">
        <v>224</v>
      </c>
      <c r="K254" s="13">
        <v>44206</v>
      </c>
      <c r="L254" t="s">
        <v>223</v>
      </c>
      <c r="M254" t="str">
        <f t="shared" si="8"/>
        <v>May</v>
      </c>
      <c r="N254">
        <f t="shared" si="9"/>
        <v>2020</v>
      </c>
    </row>
    <row r="255" spans="1:14" x14ac:dyDescent="0.25">
      <c r="A255">
        <v>253</v>
      </c>
      <c r="B255" s="52">
        <v>43952</v>
      </c>
      <c r="C255" s="2">
        <v>36.94</v>
      </c>
      <c r="D255" t="s">
        <v>295</v>
      </c>
      <c r="E255" t="s">
        <v>28</v>
      </c>
      <c r="F255" t="s">
        <v>32</v>
      </c>
      <c r="G255" t="s">
        <v>513</v>
      </c>
      <c r="H255" t="s">
        <v>29</v>
      </c>
      <c r="I255" t="s">
        <v>29</v>
      </c>
      <c r="J255" t="s">
        <v>224</v>
      </c>
      <c r="K255" s="13">
        <v>44206</v>
      </c>
      <c r="L255" t="s">
        <v>223</v>
      </c>
      <c r="M255" t="str">
        <f t="shared" si="8"/>
        <v>May</v>
      </c>
      <c r="N255">
        <f t="shared" si="9"/>
        <v>2020</v>
      </c>
    </row>
    <row r="256" spans="1:14" x14ac:dyDescent="0.25">
      <c r="A256">
        <v>254</v>
      </c>
      <c r="B256" s="52">
        <v>43952</v>
      </c>
      <c r="C256" s="2">
        <v>42.22</v>
      </c>
      <c r="D256" t="s">
        <v>305</v>
      </c>
      <c r="E256" t="s">
        <v>28</v>
      </c>
      <c r="F256" t="s">
        <v>50</v>
      </c>
      <c r="H256" t="s">
        <v>29</v>
      </c>
      <c r="I256" t="s">
        <v>29</v>
      </c>
      <c r="J256" t="s">
        <v>224</v>
      </c>
      <c r="K256" s="13">
        <v>44206</v>
      </c>
      <c r="L256" t="s">
        <v>223</v>
      </c>
      <c r="M256" t="str">
        <f t="shared" si="8"/>
        <v>May</v>
      </c>
      <c r="N256">
        <f t="shared" si="9"/>
        <v>2020</v>
      </c>
    </row>
    <row r="257" spans="1:14" x14ac:dyDescent="0.25">
      <c r="A257">
        <v>255</v>
      </c>
      <c r="B257" s="52">
        <v>43949</v>
      </c>
      <c r="C257" s="2">
        <v>227.95</v>
      </c>
      <c r="D257" t="s">
        <v>230</v>
      </c>
      <c r="E257" t="s">
        <v>28</v>
      </c>
      <c r="F257" t="s">
        <v>520</v>
      </c>
      <c r="H257" t="s">
        <v>29</v>
      </c>
      <c r="I257" t="s">
        <v>29</v>
      </c>
      <c r="J257" t="s">
        <v>224</v>
      </c>
      <c r="K257" s="13">
        <v>44206</v>
      </c>
      <c r="L257" t="s">
        <v>223</v>
      </c>
      <c r="M257" t="str">
        <f t="shared" si="8"/>
        <v>April</v>
      </c>
      <c r="N257">
        <f t="shared" si="9"/>
        <v>2020</v>
      </c>
    </row>
    <row r="258" spans="1:14" x14ac:dyDescent="0.25">
      <c r="A258">
        <v>256</v>
      </c>
      <c r="B258" s="52">
        <v>43940</v>
      </c>
      <c r="C258" s="2">
        <v>15.2</v>
      </c>
      <c r="D258" t="s">
        <v>306</v>
      </c>
      <c r="E258" t="s">
        <v>28</v>
      </c>
      <c r="F258" t="s">
        <v>50</v>
      </c>
      <c r="H258" t="s">
        <v>29</v>
      </c>
      <c r="I258" t="s">
        <v>29</v>
      </c>
      <c r="J258" t="s">
        <v>224</v>
      </c>
      <c r="K258" s="13">
        <v>44206</v>
      </c>
      <c r="L258" t="s">
        <v>223</v>
      </c>
      <c r="M258" t="str">
        <f t="shared" si="8"/>
        <v>April</v>
      </c>
      <c r="N258">
        <f t="shared" si="9"/>
        <v>2020</v>
      </c>
    </row>
    <row r="259" spans="1:14" x14ac:dyDescent="0.25">
      <c r="A259">
        <v>257</v>
      </c>
      <c r="B259" s="52">
        <v>43938</v>
      </c>
      <c r="C259" s="2">
        <v>34.229999999999997</v>
      </c>
      <c r="D259" t="s">
        <v>41</v>
      </c>
      <c r="E259" t="s">
        <v>28</v>
      </c>
      <c r="F259" t="s">
        <v>32</v>
      </c>
      <c r="G259" t="s">
        <v>512</v>
      </c>
      <c r="H259" t="s">
        <v>29</v>
      </c>
      <c r="I259" t="s">
        <v>29</v>
      </c>
      <c r="J259" t="s">
        <v>224</v>
      </c>
      <c r="K259" s="13">
        <v>44206</v>
      </c>
      <c r="L259" t="s">
        <v>223</v>
      </c>
      <c r="M259" t="str">
        <f t="shared" ref="M259:M322" si="10">TEXT(B259,"mmmm")</f>
        <v>April</v>
      </c>
      <c r="N259">
        <f t="shared" ref="N259:N322" si="11">YEAR(B259)</f>
        <v>2020</v>
      </c>
    </row>
    <row r="260" spans="1:14" x14ac:dyDescent="0.25">
      <c r="A260">
        <v>258</v>
      </c>
      <c r="B260" s="52">
        <v>43936</v>
      </c>
      <c r="C260" s="2">
        <v>220.45</v>
      </c>
      <c r="D260" t="s">
        <v>307</v>
      </c>
      <c r="E260" t="s">
        <v>28</v>
      </c>
      <c r="F260" t="s">
        <v>522</v>
      </c>
      <c r="H260" t="s">
        <v>29</v>
      </c>
      <c r="I260" t="s">
        <v>29</v>
      </c>
      <c r="J260" t="s">
        <v>224</v>
      </c>
      <c r="K260" s="13">
        <v>44206</v>
      </c>
      <c r="L260" t="s">
        <v>223</v>
      </c>
      <c r="M260" t="str">
        <f t="shared" si="10"/>
        <v>April</v>
      </c>
      <c r="N260">
        <f t="shared" si="11"/>
        <v>2020</v>
      </c>
    </row>
    <row r="261" spans="1:14" x14ac:dyDescent="0.25">
      <c r="A261">
        <v>259</v>
      </c>
      <c r="B261" s="52">
        <v>43937</v>
      </c>
      <c r="C261" s="2">
        <v>20</v>
      </c>
      <c r="D261" t="s">
        <v>308</v>
      </c>
      <c r="E261" t="s">
        <v>28</v>
      </c>
      <c r="F261" t="s">
        <v>50</v>
      </c>
      <c r="G261" t="s">
        <v>517</v>
      </c>
      <c r="H261" t="s">
        <v>29</v>
      </c>
      <c r="I261" t="s">
        <v>29</v>
      </c>
      <c r="J261" t="s">
        <v>224</v>
      </c>
      <c r="K261" s="13">
        <v>44206</v>
      </c>
      <c r="L261" t="s">
        <v>223</v>
      </c>
      <c r="M261" t="str">
        <f t="shared" si="10"/>
        <v>April</v>
      </c>
      <c r="N261">
        <f t="shared" si="11"/>
        <v>2020</v>
      </c>
    </row>
    <row r="262" spans="1:14" x14ac:dyDescent="0.25">
      <c r="A262">
        <v>260</v>
      </c>
      <c r="B262" s="52">
        <v>43936</v>
      </c>
      <c r="C262" s="2">
        <v>13.77</v>
      </c>
      <c r="D262" t="s">
        <v>309</v>
      </c>
      <c r="E262" t="s">
        <v>28</v>
      </c>
      <c r="F262" t="s">
        <v>519</v>
      </c>
      <c r="H262" t="s">
        <v>29</v>
      </c>
      <c r="I262" t="s">
        <v>29</v>
      </c>
      <c r="J262" t="s">
        <v>224</v>
      </c>
      <c r="K262" s="13">
        <v>44206</v>
      </c>
      <c r="L262" t="s">
        <v>223</v>
      </c>
      <c r="M262" t="str">
        <f t="shared" si="10"/>
        <v>April</v>
      </c>
      <c r="N262">
        <f t="shared" si="11"/>
        <v>2020</v>
      </c>
    </row>
    <row r="263" spans="1:14" x14ac:dyDescent="0.25">
      <c r="A263">
        <v>261</v>
      </c>
      <c r="B263" s="52">
        <v>43936</v>
      </c>
      <c r="C263" s="2">
        <v>68.17</v>
      </c>
      <c r="D263" t="s">
        <v>310</v>
      </c>
      <c r="E263" t="s">
        <v>28</v>
      </c>
      <c r="F263" t="s">
        <v>522</v>
      </c>
      <c r="H263" t="s">
        <v>29</v>
      </c>
      <c r="I263" t="s">
        <v>29</v>
      </c>
      <c r="J263" t="s">
        <v>224</v>
      </c>
      <c r="K263" s="13">
        <v>44206</v>
      </c>
      <c r="L263" t="s">
        <v>223</v>
      </c>
      <c r="M263" t="str">
        <f t="shared" si="10"/>
        <v>April</v>
      </c>
      <c r="N263">
        <f t="shared" si="11"/>
        <v>2020</v>
      </c>
    </row>
    <row r="264" spans="1:14" x14ac:dyDescent="0.25">
      <c r="A264">
        <v>262</v>
      </c>
      <c r="B264" s="52">
        <v>43935</v>
      </c>
      <c r="C264" s="2">
        <v>42.39</v>
      </c>
      <c r="D264" t="s">
        <v>311</v>
      </c>
      <c r="E264" t="s">
        <v>28</v>
      </c>
      <c r="F264" t="s">
        <v>522</v>
      </c>
      <c r="H264" t="s">
        <v>29</v>
      </c>
      <c r="I264" t="s">
        <v>29</v>
      </c>
      <c r="J264" t="s">
        <v>224</v>
      </c>
      <c r="K264" s="13">
        <v>44206</v>
      </c>
      <c r="L264" t="s">
        <v>223</v>
      </c>
      <c r="M264" t="str">
        <f t="shared" si="10"/>
        <v>April</v>
      </c>
      <c r="N264">
        <f t="shared" si="11"/>
        <v>2020</v>
      </c>
    </row>
    <row r="265" spans="1:14" x14ac:dyDescent="0.25">
      <c r="A265">
        <v>263</v>
      </c>
      <c r="B265" s="52">
        <v>43935</v>
      </c>
      <c r="C265" s="2">
        <v>200</v>
      </c>
      <c r="D265" t="s">
        <v>312</v>
      </c>
      <c r="E265" t="s">
        <v>28</v>
      </c>
      <c r="F265" t="s">
        <v>521</v>
      </c>
      <c r="H265" t="s">
        <v>29</v>
      </c>
      <c r="I265" t="s">
        <v>29</v>
      </c>
      <c r="J265" t="s">
        <v>224</v>
      </c>
      <c r="K265" s="13">
        <v>44206</v>
      </c>
      <c r="L265" t="s">
        <v>223</v>
      </c>
      <c r="M265" t="str">
        <f t="shared" si="10"/>
        <v>April</v>
      </c>
      <c r="N265">
        <f t="shared" si="11"/>
        <v>2020</v>
      </c>
    </row>
    <row r="266" spans="1:14" x14ac:dyDescent="0.25">
      <c r="A266">
        <v>264</v>
      </c>
      <c r="B266" s="52">
        <v>43930</v>
      </c>
      <c r="C266" s="2">
        <v>63</v>
      </c>
      <c r="D266" t="s">
        <v>313</v>
      </c>
      <c r="E266" t="s">
        <v>28</v>
      </c>
      <c r="F266" t="s">
        <v>35</v>
      </c>
      <c r="H266" t="s">
        <v>29</v>
      </c>
      <c r="I266" t="s">
        <v>29</v>
      </c>
      <c r="J266" t="s">
        <v>224</v>
      </c>
      <c r="K266" s="13">
        <v>44206</v>
      </c>
      <c r="L266" t="s">
        <v>223</v>
      </c>
      <c r="M266" t="str">
        <f t="shared" si="10"/>
        <v>April</v>
      </c>
      <c r="N266">
        <f t="shared" si="11"/>
        <v>2020</v>
      </c>
    </row>
    <row r="267" spans="1:14" x14ac:dyDescent="0.25">
      <c r="A267">
        <v>265</v>
      </c>
      <c r="B267" s="52">
        <v>43929</v>
      </c>
      <c r="C267" s="2">
        <v>34.5</v>
      </c>
      <c r="D267" t="s">
        <v>314</v>
      </c>
      <c r="E267" t="s">
        <v>28</v>
      </c>
      <c r="F267" t="s">
        <v>32</v>
      </c>
      <c r="H267" t="s">
        <v>29</v>
      </c>
      <c r="I267" t="s">
        <v>29</v>
      </c>
      <c r="J267" t="s">
        <v>224</v>
      </c>
      <c r="K267" s="13">
        <v>44206</v>
      </c>
      <c r="L267" t="s">
        <v>223</v>
      </c>
      <c r="M267" t="str">
        <f t="shared" si="10"/>
        <v>April</v>
      </c>
      <c r="N267">
        <f t="shared" si="11"/>
        <v>2020</v>
      </c>
    </row>
    <row r="268" spans="1:14" x14ac:dyDescent="0.25">
      <c r="A268">
        <v>266</v>
      </c>
      <c r="B268" s="52">
        <v>43928</v>
      </c>
      <c r="C268" s="2">
        <v>62.5</v>
      </c>
      <c r="D268" t="s">
        <v>295</v>
      </c>
      <c r="E268" t="s">
        <v>28</v>
      </c>
      <c r="F268" t="s">
        <v>32</v>
      </c>
      <c r="G268" t="s">
        <v>513</v>
      </c>
      <c r="H268" t="s">
        <v>29</v>
      </c>
      <c r="I268" t="s">
        <v>29</v>
      </c>
      <c r="J268" t="s">
        <v>224</v>
      </c>
      <c r="K268" s="13">
        <v>44206</v>
      </c>
      <c r="L268" t="s">
        <v>223</v>
      </c>
      <c r="M268" t="str">
        <f t="shared" si="10"/>
        <v>April</v>
      </c>
      <c r="N268">
        <f t="shared" si="11"/>
        <v>2020</v>
      </c>
    </row>
    <row r="269" spans="1:14" x14ac:dyDescent="0.25">
      <c r="A269">
        <v>267</v>
      </c>
      <c r="B269" s="52">
        <v>43926</v>
      </c>
      <c r="C269" s="2">
        <v>4.2300000000000004</v>
      </c>
      <c r="D269" t="s">
        <v>36</v>
      </c>
      <c r="E269" t="s">
        <v>28</v>
      </c>
      <c r="F269" t="s">
        <v>31</v>
      </c>
      <c r="H269" t="s">
        <v>29</v>
      </c>
      <c r="I269" t="s">
        <v>29</v>
      </c>
      <c r="J269" t="s">
        <v>224</v>
      </c>
      <c r="K269" s="13">
        <v>44206</v>
      </c>
      <c r="L269" t="s">
        <v>223</v>
      </c>
      <c r="M269" t="str">
        <f t="shared" si="10"/>
        <v>April</v>
      </c>
      <c r="N269">
        <f t="shared" si="11"/>
        <v>2020</v>
      </c>
    </row>
    <row r="270" spans="1:14" x14ac:dyDescent="0.25">
      <c r="A270">
        <v>268</v>
      </c>
      <c r="B270" s="52">
        <v>43922</v>
      </c>
      <c r="C270" s="2">
        <v>109.18</v>
      </c>
      <c r="D270" t="s">
        <v>315</v>
      </c>
      <c r="E270" t="s">
        <v>28</v>
      </c>
      <c r="F270" t="s">
        <v>33</v>
      </c>
      <c r="H270" t="s">
        <v>29</v>
      </c>
      <c r="I270" t="s">
        <v>29</v>
      </c>
      <c r="J270" t="s">
        <v>224</v>
      </c>
      <c r="K270" s="13">
        <v>44206</v>
      </c>
      <c r="L270" t="s">
        <v>223</v>
      </c>
      <c r="M270" t="str">
        <f t="shared" si="10"/>
        <v>April</v>
      </c>
      <c r="N270">
        <f t="shared" si="11"/>
        <v>2020</v>
      </c>
    </row>
    <row r="271" spans="1:14" x14ac:dyDescent="0.25">
      <c r="A271">
        <v>269</v>
      </c>
      <c r="B271" s="52">
        <v>43922</v>
      </c>
      <c r="C271" s="2">
        <v>236.38</v>
      </c>
      <c r="D271" t="s">
        <v>230</v>
      </c>
      <c r="E271" t="s">
        <v>28</v>
      </c>
      <c r="F271" t="s">
        <v>520</v>
      </c>
      <c r="H271" t="s">
        <v>29</v>
      </c>
      <c r="I271" t="s">
        <v>29</v>
      </c>
      <c r="J271" t="s">
        <v>224</v>
      </c>
      <c r="K271" s="13">
        <v>44206</v>
      </c>
      <c r="L271" t="s">
        <v>223</v>
      </c>
      <c r="M271" t="str">
        <f t="shared" si="10"/>
        <v>April</v>
      </c>
      <c r="N271">
        <f t="shared" si="11"/>
        <v>2020</v>
      </c>
    </row>
    <row r="272" spans="1:14" x14ac:dyDescent="0.25">
      <c r="A272">
        <v>270</v>
      </c>
      <c r="B272" s="52">
        <v>43920</v>
      </c>
      <c r="C272" s="2">
        <v>1.22</v>
      </c>
      <c r="D272" t="s">
        <v>316</v>
      </c>
      <c r="E272" t="s">
        <v>28</v>
      </c>
      <c r="F272" t="s">
        <v>519</v>
      </c>
      <c r="H272" t="s">
        <v>29</v>
      </c>
      <c r="I272" t="s">
        <v>29</v>
      </c>
      <c r="J272" t="s">
        <v>224</v>
      </c>
      <c r="K272" s="13">
        <v>44206</v>
      </c>
      <c r="L272" t="s">
        <v>223</v>
      </c>
      <c r="M272" t="str">
        <f t="shared" si="10"/>
        <v>March</v>
      </c>
      <c r="N272">
        <f t="shared" si="11"/>
        <v>2020</v>
      </c>
    </row>
    <row r="273" spans="1:14" x14ac:dyDescent="0.25">
      <c r="A273">
        <v>271</v>
      </c>
      <c r="B273" s="52">
        <v>43918</v>
      </c>
      <c r="C273" s="2">
        <v>154.76</v>
      </c>
      <c r="D273" t="s">
        <v>317</v>
      </c>
      <c r="E273" t="s">
        <v>28</v>
      </c>
      <c r="F273" t="s">
        <v>519</v>
      </c>
      <c r="H273" t="s">
        <v>29</v>
      </c>
      <c r="I273" t="s">
        <v>29</v>
      </c>
      <c r="J273" t="s">
        <v>224</v>
      </c>
      <c r="K273" s="13">
        <v>44206</v>
      </c>
      <c r="L273" t="s">
        <v>223</v>
      </c>
      <c r="M273" t="str">
        <f t="shared" si="10"/>
        <v>March</v>
      </c>
      <c r="N273">
        <f t="shared" si="11"/>
        <v>2020</v>
      </c>
    </row>
    <row r="274" spans="1:14" x14ac:dyDescent="0.25">
      <c r="A274">
        <v>272</v>
      </c>
      <c r="B274" s="52">
        <v>43912</v>
      </c>
      <c r="C274" s="2">
        <v>25.05</v>
      </c>
      <c r="D274" t="s">
        <v>318</v>
      </c>
      <c r="E274" t="s">
        <v>28</v>
      </c>
      <c r="F274" t="s">
        <v>50</v>
      </c>
      <c r="H274" t="s">
        <v>29</v>
      </c>
      <c r="I274" t="s">
        <v>29</v>
      </c>
      <c r="J274" t="s">
        <v>224</v>
      </c>
      <c r="K274" s="13">
        <v>44206</v>
      </c>
      <c r="L274" t="s">
        <v>223</v>
      </c>
      <c r="M274" t="str">
        <f t="shared" si="10"/>
        <v>March</v>
      </c>
      <c r="N274">
        <f t="shared" si="11"/>
        <v>2020</v>
      </c>
    </row>
    <row r="275" spans="1:14" x14ac:dyDescent="0.25">
      <c r="A275">
        <v>273</v>
      </c>
      <c r="B275" s="52">
        <v>43910</v>
      </c>
      <c r="C275" s="2">
        <v>33.450000000000003</v>
      </c>
      <c r="D275" t="s">
        <v>30</v>
      </c>
      <c r="E275" t="s">
        <v>28</v>
      </c>
      <c r="F275" t="s">
        <v>32</v>
      </c>
      <c r="H275" t="s">
        <v>29</v>
      </c>
      <c r="I275" t="s">
        <v>29</v>
      </c>
      <c r="J275" t="s">
        <v>224</v>
      </c>
      <c r="K275" s="13">
        <v>44206</v>
      </c>
      <c r="L275" t="s">
        <v>223</v>
      </c>
      <c r="M275" t="str">
        <f t="shared" si="10"/>
        <v>March</v>
      </c>
      <c r="N275">
        <f t="shared" si="11"/>
        <v>2020</v>
      </c>
    </row>
    <row r="276" spans="1:14" x14ac:dyDescent="0.25">
      <c r="A276">
        <v>274</v>
      </c>
      <c r="B276" s="52">
        <v>43910</v>
      </c>
      <c r="C276" s="2">
        <v>14.18</v>
      </c>
      <c r="D276" t="s">
        <v>41</v>
      </c>
      <c r="E276" t="s">
        <v>28</v>
      </c>
      <c r="F276" t="s">
        <v>32</v>
      </c>
      <c r="G276" t="s">
        <v>512</v>
      </c>
      <c r="H276" t="s">
        <v>29</v>
      </c>
      <c r="I276" t="s">
        <v>29</v>
      </c>
      <c r="J276" t="s">
        <v>224</v>
      </c>
      <c r="K276" s="13">
        <v>44206</v>
      </c>
      <c r="L276" t="s">
        <v>223</v>
      </c>
      <c r="M276" t="str">
        <f t="shared" si="10"/>
        <v>March</v>
      </c>
      <c r="N276">
        <f t="shared" si="11"/>
        <v>2020</v>
      </c>
    </row>
    <row r="277" spans="1:14" x14ac:dyDescent="0.25">
      <c r="A277">
        <v>275</v>
      </c>
      <c r="B277" s="52">
        <v>43906</v>
      </c>
      <c r="C277" s="2">
        <v>32.94</v>
      </c>
      <c r="D277" t="s">
        <v>30</v>
      </c>
      <c r="E277" t="s">
        <v>28</v>
      </c>
      <c r="F277" t="s">
        <v>32</v>
      </c>
      <c r="H277" t="s">
        <v>29</v>
      </c>
      <c r="I277" t="s">
        <v>29</v>
      </c>
      <c r="J277" t="s">
        <v>224</v>
      </c>
      <c r="K277" s="13">
        <v>44206</v>
      </c>
      <c r="L277" t="s">
        <v>223</v>
      </c>
      <c r="M277" t="str">
        <f t="shared" si="10"/>
        <v>March</v>
      </c>
      <c r="N277">
        <f t="shared" si="11"/>
        <v>2020</v>
      </c>
    </row>
    <row r="278" spans="1:14" x14ac:dyDescent="0.25">
      <c r="A278">
        <v>276</v>
      </c>
      <c r="B278" s="52">
        <v>43906</v>
      </c>
      <c r="C278" s="2">
        <v>140.99</v>
      </c>
      <c r="D278" t="s">
        <v>41</v>
      </c>
      <c r="E278" t="s">
        <v>28</v>
      </c>
      <c r="F278" t="s">
        <v>32</v>
      </c>
      <c r="G278" t="s">
        <v>512</v>
      </c>
      <c r="H278" t="s">
        <v>29</v>
      </c>
      <c r="I278" t="s">
        <v>29</v>
      </c>
      <c r="J278" t="s">
        <v>224</v>
      </c>
      <c r="K278" s="13">
        <v>44206</v>
      </c>
      <c r="L278" t="s">
        <v>223</v>
      </c>
      <c r="M278" t="str">
        <f t="shared" si="10"/>
        <v>March</v>
      </c>
      <c r="N278">
        <f t="shared" si="11"/>
        <v>2020</v>
      </c>
    </row>
    <row r="279" spans="1:14" x14ac:dyDescent="0.25">
      <c r="A279">
        <v>277</v>
      </c>
      <c r="B279" s="52">
        <v>43905</v>
      </c>
      <c r="C279" s="2">
        <v>119.02</v>
      </c>
      <c r="D279" t="s">
        <v>319</v>
      </c>
      <c r="E279" t="s">
        <v>28</v>
      </c>
      <c r="F279" t="s">
        <v>50</v>
      </c>
      <c r="H279" t="s">
        <v>29</v>
      </c>
      <c r="I279" t="s">
        <v>29</v>
      </c>
      <c r="J279" t="s">
        <v>224</v>
      </c>
      <c r="K279" s="13">
        <v>44206</v>
      </c>
      <c r="L279" t="s">
        <v>223</v>
      </c>
      <c r="M279" t="str">
        <f t="shared" si="10"/>
        <v>March</v>
      </c>
      <c r="N279">
        <f t="shared" si="11"/>
        <v>2020</v>
      </c>
    </row>
    <row r="280" spans="1:14" x14ac:dyDescent="0.25">
      <c r="A280">
        <v>278</v>
      </c>
      <c r="B280" s="52">
        <v>43904</v>
      </c>
      <c r="C280" s="2">
        <v>73.19</v>
      </c>
      <c r="D280" t="s">
        <v>320</v>
      </c>
      <c r="E280" t="s">
        <v>28</v>
      </c>
      <c r="F280" t="s">
        <v>50</v>
      </c>
      <c r="H280" t="s">
        <v>29</v>
      </c>
      <c r="I280" t="s">
        <v>29</v>
      </c>
      <c r="J280" t="s">
        <v>224</v>
      </c>
      <c r="K280" s="13">
        <v>44206</v>
      </c>
      <c r="L280" t="s">
        <v>223</v>
      </c>
      <c r="M280" t="str">
        <f t="shared" si="10"/>
        <v>March</v>
      </c>
      <c r="N280">
        <f t="shared" si="11"/>
        <v>2020</v>
      </c>
    </row>
    <row r="281" spans="1:14" x14ac:dyDescent="0.25">
      <c r="A281">
        <v>279</v>
      </c>
      <c r="B281" s="52">
        <v>43904</v>
      </c>
      <c r="C281" s="2">
        <v>49.61</v>
      </c>
      <c r="D281" t="s">
        <v>321</v>
      </c>
      <c r="E281" t="s">
        <v>28</v>
      </c>
      <c r="F281" t="s">
        <v>50</v>
      </c>
      <c r="H281" t="s">
        <v>29</v>
      </c>
      <c r="I281" t="s">
        <v>29</v>
      </c>
      <c r="J281" t="s">
        <v>224</v>
      </c>
      <c r="K281" s="13">
        <v>44206</v>
      </c>
      <c r="L281" t="s">
        <v>223</v>
      </c>
      <c r="M281" t="str">
        <f t="shared" si="10"/>
        <v>March</v>
      </c>
      <c r="N281">
        <f t="shared" si="11"/>
        <v>2020</v>
      </c>
    </row>
    <row r="282" spans="1:14" x14ac:dyDescent="0.25">
      <c r="A282">
        <v>280</v>
      </c>
      <c r="B282" s="52">
        <v>43903</v>
      </c>
      <c r="C282" s="2">
        <v>27</v>
      </c>
      <c r="D282" t="s">
        <v>322</v>
      </c>
      <c r="E282" t="s">
        <v>28</v>
      </c>
      <c r="F282" t="s">
        <v>50</v>
      </c>
      <c r="H282" t="s">
        <v>29</v>
      </c>
      <c r="I282" t="s">
        <v>29</v>
      </c>
      <c r="J282" t="s">
        <v>224</v>
      </c>
      <c r="K282" s="13">
        <v>44206</v>
      </c>
      <c r="L282" t="s">
        <v>223</v>
      </c>
      <c r="M282" t="str">
        <f t="shared" si="10"/>
        <v>March</v>
      </c>
      <c r="N282">
        <f t="shared" si="11"/>
        <v>2020</v>
      </c>
    </row>
    <row r="283" spans="1:14" x14ac:dyDescent="0.25">
      <c r="A283">
        <v>281</v>
      </c>
      <c r="B283" s="52">
        <v>43902</v>
      </c>
      <c r="C283" s="2">
        <v>19.71</v>
      </c>
      <c r="D283" t="s">
        <v>45</v>
      </c>
      <c r="E283" t="s">
        <v>28</v>
      </c>
      <c r="F283" t="s">
        <v>51</v>
      </c>
      <c r="H283" t="s">
        <v>29</v>
      </c>
      <c r="I283" t="s">
        <v>29</v>
      </c>
      <c r="J283" t="s">
        <v>224</v>
      </c>
      <c r="K283" s="13">
        <v>44206</v>
      </c>
      <c r="L283" t="s">
        <v>223</v>
      </c>
      <c r="M283" t="str">
        <f t="shared" si="10"/>
        <v>March</v>
      </c>
      <c r="N283">
        <f t="shared" si="11"/>
        <v>2020</v>
      </c>
    </row>
    <row r="284" spans="1:14" x14ac:dyDescent="0.25">
      <c r="A284">
        <v>282</v>
      </c>
      <c r="B284" s="52">
        <v>43902</v>
      </c>
      <c r="C284" s="2">
        <v>7.85</v>
      </c>
      <c r="D284" t="s">
        <v>45</v>
      </c>
      <c r="E284" t="s">
        <v>28</v>
      </c>
      <c r="F284" t="s">
        <v>51</v>
      </c>
      <c r="H284" t="s">
        <v>29</v>
      </c>
      <c r="I284" t="s">
        <v>29</v>
      </c>
      <c r="J284" t="s">
        <v>224</v>
      </c>
      <c r="K284" s="13">
        <v>44206</v>
      </c>
      <c r="L284" t="s">
        <v>223</v>
      </c>
      <c r="M284" t="str">
        <f t="shared" si="10"/>
        <v>March</v>
      </c>
      <c r="N284">
        <f t="shared" si="11"/>
        <v>2020</v>
      </c>
    </row>
    <row r="285" spans="1:14" x14ac:dyDescent="0.25">
      <c r="A285">
        <v>283</v>
      </c>
      <c r="B285" s="52">
        <v>43902</v>
      </c>
      <c r="C285" s="2">
        <v>43.85</v>
      </c>
      <c r="D285" t="s">
        <v>323</v>
      </c>
      <c r="E285" t="s">
        <v>28</v>
      </c>
      <c r="F285" t="s">
        <v>50</v>
      </c>
      <c r="H285" t="s">
        <v>29</v>
      </c>
      <c r="I285" t="s">
        <v>29</v>
      </c>
      <c r="J285" t="s">
        <v>224</v>
      </c>
      <c r="K285" s="13">
        <v>44206</v>
      </c>
      <c r="L285" t="s">
        <v>223</v>
      </c>
      <c r="M285" t="str">
        <f t="shared" si="10"/>
        <v>March</v>
      </c>
      <c r="N285">
        <f t="shared" si="11"/>
        <v>2020</v>
      </c>
    </row>
    <row r="286" spans="1:14" x14ac:dyDescent="0.25">
      <c r="A286">
        <v>284</v>
      </c>
      <c r="B286" s="52">
        <v>43901</v>
      </c>
      <c r="C286" s="2">
        <v>11.5</v>
      </c>
      <c r="D286" t="s">
        <v>324</v>
      </c>
      <c r="E286" t="s">
        <v>28</v>
      </c>
      <c r="F286" t="s">
        <v>50</v>
      </c>
      <c r="H286" t="s">
        <v>29</v>
      </c>
      <c r="I286" t="s">
        <v>29</v>
      </c>
      <c r="J286" t="s">
        <v>224</v>
      </c>
      <c r="K286" s="13">
        <v>44206</v>
      </c>
      <c r="L286" t="s">
        <v>223</v>
      </c>
      <c r="M286" t="str">
        <f t="shared" si="10"/>
        <v>March</v>
      </c>
      <c r="N286">
        <f t="shared" si="11"/>
        <v>2020</v>
      </c>
    </row>
    <row r="287" spans="1:14" x14ac:dyDescent="0.25">
      <c r="A287">
        <v>285</v>
      </c>
      <c r="B287" s="52">
        <v>43901</v>
      </c>
      <c r="C287" s="2">
        <v>73.39</v>
      </c>
      <c r="D287" t="s">
        <v>325</v>
      </c>
      <c r="E287" t="s">
        <v>28</v>
      </c>
      <c r="F287" t="s">
        <v>50</v>
      </c>
      <c r="H287" t="s">
        <v>29</v>
      </c>
      <c r="I287" t="s">
        <v>29</v>
      </c>
      <c r="J287" t="s">
        <v>224</v>
      </c>
      <c r="K287" s="13">
        <v>44206</v>
      </c>
      <c r="L287" t="s">
        <v>223</v>
      </c>
      <c r="M287" t="str">
        <f t="shared" si="10"/>
        <v>March</v>
      </c>
      <c r="N287">
        <f t="shared" si="11"/>
        <v>2020</v>
      </c>
    </row>
    <row r="288" spans="1:14" x14ac:dyDescent="0.25">
      <c r="A288">
        <v>286</v>
      </c>
      <c r="B288" s="52">
        <v>43901</v>
      </c>
      <c r="C288" s="2">
        <v>6.25</v>
      </c>
      <c r="D288" t="s">
        <v>326</v>
      </c>
      <c r="E288" t="s">
        <v>28</v>
      </c>
      <c r="F288" t="s">
        <v>50</v>
      </c>
      <c r="H288" t="s">
        <v>29</v>
      </c>
      <c r="I288" t="s">
        <v>29</v>
      </c>
      <c r="J288" t="s">
        <v>224</v>
      </c>
      <c r="K288" s="13">
        <v>44206</v>
      </c>
      <c r="L288" t="s">
        <v>223</v>
      </c>
      <c r="M288" t="str">
        <f t="shared" si="10"/>
        <v>March</v>
      </c>
      <c r="N288">
        <f t="shared" si="11"/>
        <v>2020</v>
      </c>
    </row>
    <row r="289" spans="1:14" x14ac:dyDescent="0.25">
      <c r="A289">
        <v>287</v>
      </c>
      <c r="B289" s="52">
        <v>43899</v>
      </c>
      <c r="C289" s="2">
        <v>16.43</v>
      </c>
      <c r="D289" t="s">
        <v>327</v>
      </c>
      <c r="E289" t="s">
        <v>28</v>
      </c>
      <c r="F289" t="s">
        <v>519</v>
      </c>
      <c r="H289" t="s">
        <v>29</v>
      </c>
      <c r="I289" t="s">
        <v>29</v>
      </c>
      <c r="J289" t="s">
        <v>224</v>
      </c>
      <c r="K289" s="13">
        <v>44206</v>
      </c>
      <c r="L289" t="s">
        <v>223</v>
      </c>
      <c r="M289" t="str">
        <f t="shared" si="10"/>
        <v>March</v>
      </c>
      <c r="N289">
        <f t="shared" si="11"/>
        <v>2020</v>
      </c>
    </row>
    <row r="290" spans="1:14" x14ac:dyDescent="0.25">
      <c r="A290">
        <v>288</v>
      </c>
      <c r="B290" s="52">
        <v>43900</v>
      </c>
      <c r="C290" s="2">
        <v>27.3</v>
      </c>
      <c r="D290" t="s">
        <v>328</v>
      </c>
      <c r="E290" t="s">
        <v>28</v>
      </c>
      <c r="F290" t="s">
        <v>50</v>
      </c>
      <c r="H290" t="s">
        <v>29</v>
      </c>
      <c r="I290" t="s">
        <v>29</v>
      </c>
      <c r="J290" t="s">
        <v>224</v>
      </c>
      <c r="K290" s="13">
        <v>44206</v>
      </c>
      <c r="L290" t="s">
        <v>223</v>
      </c>
      <c r="M290" t="str">
        <f t="shared" si="10"/>
        <v>March</v>
      </c>
      <c r="N290">
        <f t="shared" si="11"/>
        <v>2020</v>
      </c>
    </row>
    <row r="291" spans="1:14" x14ac:dyDescent="0.25">
      <c r="A291">
        <v>289</v>
      </c>
      <c r="B291" s="52">
        <v>43899</v>
      </c>
      <c r="C291" s="2">
        <v>19.399999999999999</v>
      </c>
      <c r="D291" t="s">
        <v>295</v>
      </c>
      <c r="E291" t="s">
        <v>28</v>
      </c>
      <c r="F291" t="s">
        <v>32</v>
      </c>
      <c r="G291" t="s">
        <v>513</v>
      </c>
      <c r="H291" t="s">
        <v>29</v>
      </c>
      <c r="I291" t="s">
        <v>29</v>
      </c>
      <c r="J291" t="s">
        <v>224</v>
      </c>
      <c r="K291" s="13">
        <v>44206</v>
      </c>
      <c r="L291" t="s">
        <v>223</v>
      </c>
      <c r="M291" t="str">
        <f t="shared" si="10"/>
        <v>March</v>
      </c>
      <c r="N291">
        <f t="shared" si="11"/>
        <v>2020</v>
      </c>
    </row>
    <row r="292" spans="1:14" x14ac:dyDescent="0.25">
      <c r="A292">
        <v>290</v>
      </c>
      <c r="B292" s="52">
        <v>43898</v>
      </c>
      <c r="C292" s="2">
        <v>45.74</v>
      </c>
      <c r="D292" t="s">
        <v>329</v>
      </c>
      <c r="E292" t="s">
        <v>28</v>
      </c>
      <c r="F292" t="s">
        <v>50</v>
      </c>
      <c r="H292" t="s">
        <v>29</v>
      </c>
      <c r="I292" t="s">
        <v>29</v>
      </c>
      <c r="J292" t="s">
        <v>224</v>
      </c>
      <c r="K292" s="13">
        <v>44206</v>
      </c>
      <c r="L292" t="s">
        <v>223</v>
      </c>
      <c r="M292" t="str">
        <f t="shared" si="10"/>
        <v>March</v>
      </c>
      <c r="N292">
        <f t="shared" si="11"/>
        <v>2020</v>
      </c>
    </row>
    <row r="293" spans="1:14" x14ac:dyDescent="0.25">
      <c r="A293">
        <v>291</v>
      </c>
      <c r="B293" s="52">
        <v>43897</v>
      </c>
      <c r="C293" s="2">
        <v>21.7</v>
      </c>
      <c r="D293" t="s">
        <v>225</v>
      </c>
      <c r="E293" t="s">
        <v>28</v>
      </c>
      <c r="F293" t="s">
        <v>32</v>
      </c>
      <c r="H293" t="s">
        <v>29</v>
      </c>
      <c r="I293" t="s">
        <v>29</v>
      </c>
      <c r="J293" t="s">
        <v>224</v>
      </c>
      <c r="K293" s="13">
        <v>44206</v>
      </c>
      <c r="L293" t="s">
        <v>223</v>
      </c>
      <c r="M293" t="str">
        <f t="shared" si="10"/>
        <v>March</v>
      </c>
      <c r="N293">
        <f t="shared" si="11"/>
        <v>2020</v>
      </c>
    </row>
    <row r="294" spans="1:14" x14ac:dyDescent="0.25">
      <c r="A294">
        <v>292</v>
      </c>
      <c r="B294" s="52">
        <v>43833</v>
      </c>
      <c r="C294" s="2">
        <v>67.59</v>
      </c>
      <c r="D294" t="s">
        <v>331</v>
      </c>
      <c r="E294" t="s">
        <v>28</v>
      </c>
      <c r="F294" t="s">
        <v>50</v>
      </c>
      <c r="H294" t="s">
        <v>29</v>
      </c>
      <c r="I294" t="s">
        <v>29</v>
      </c>
      <c r="J294" t="s">
        <v>46</v>
      </c>
      <c r="K294" s="13">
        <v>44206</v>
      </c>
      <c r="L294" t="s">
        <v>330</v>
      </c>
      <c r="M294" t="str">
        <f t="shared" si="10"/>
        <v>January</v>
      </c>
      <c r="N294">
        <f t="shared" si="11"/>
        <v>2020</v>
      </c>
    </row>
    <row r="295" spans="1:14" x14ac:dyDescent="0.25">
      <c r="A295">
        <v>293</v>
      </c>
      <c r="B295" s="52">
        <v>43834</v>
      </c>
      <c r="C295" s="2">
        <v>16.260000000000002</v>
      </c>
      <c r="D295" t="s">
        <v>332</v>
      </c>
      <c r="E295" t="s">
        <v>28</v>
      </c>
      <c r="F295" t="s">
        <v>50</v>
      </c>
      <c r="H295" t="s">
        <v>29</v>
      </c>
      <c r="I295" t="s">
        <v>29</v>
      </c>
      <c r="J295" t="s">
        <v>46</v>
      </c>
      <c r="K295" s="13">
        <v>44206</v>
      </c>
      <c r="L295" t="s">
        <v>330</v>
      </c>
      <c r="M295" t="str">
        <f t="shared" si="10"/>
        <v>January</v>
      </c>
      <c r="N295">
        <f t="shared" si="11"/>
        <v>2020</v>
      </c>
    </row>
    <row r="296" spans="1:14" x14ac:dyDescent="0.25">
      <c r="A296">
        <v>294</v>
      </c>
      <c r="B296" s="52">
        <v>43836</v>
      </c>
      <c r="C296" s="2">
        <v>159.1</v>
      </c>
      <c r="D296" t="s">
        <v>333</v>
      </c>
      <c r="E296" t="s">
        <v>28</v>
      </c>
      <c r="F296" t="s">
        <v>522</v>
      </c>
      <c r="H296" t="s">
        <v>29</v>
      </c>
      <c r="I296" t="s">
        <v>29</v>
      </c>
      <c r="J296" t="s">
        <v>46</v>
      </c>
      <c r="K296" s="13">
        <v>44206</v>
      </c>
      <c r="L296" t="s">
        <v>330</v>
      </c>
      <c r="M296" t="str">
        <f t="shared" si="10"/>
        <v>January</v>
      </c>
      <c r="N296">
        <f t="shared" si="11"/>
        <v>2020</v>
      </c>
    </row>
    <row r="297" spans="1:14" x14ac:dyDescent="0.25">
      <c r="A297">
        <v>295</v>
      </c>
      <c r="B297" s="52">
        <v>43836</v>
      </c>
      <c r="C297" s="2">
        <v>51.65</v>
      </c>
      <c r="D297" t="s">
        <v>334</v>
      </c>
      <c r="E297" t="s">
        <v>28</v>
      </c>
      <c r="F297" t="s">
        <v>522</v>
      </c>
      <c r="H297" t="s">
        <v>29</v>
      </c>
      <c r="I297" t="s">
        <v>29</v>
      </c>
      <c r="J297" t="s">
        <v>46</v>
      </c>
      <c r="K297" s="13">
        <v>44206</v>
      </c>
      <c r="L297" t="s">
        <v>330</v>
      </c>
      <c r="M297" t="str">
        <f t="shared" si="10"/>
        <v>January</v>
      </c>
      <c r="N297">
        <f t="shared" si="11"/>
        <v>2020</v>
      </c>
    </row>
    <row r="298" spans="1:14" x14ac:dyDescent="0.25">
      <c r="A298">
        <v>296</v>
      </c>
      <c r="B298" s="52">
        <v>43837</v>
      </c>
      <c r="C298" s="2">
        <v>45.5</v>
      </c>
      <c r="D298" t="s">
        <v>335</v>
      </c>
      <c r="E298" t="s">
        <v>28</v>
      </c>
      <c r="F298" t="s">
        <v>51</v>
      </c>
      <c r="H298" t="s">
        <v>29</v>
      </c>
      <c r="I298" t="s">
        <v>29</v>
      </c>
      <c r="J298" t="s">
        <v>46</v>
      </c>
      <c r="K298" s="13">
        <v>44206</v>
      </c>
      <c r="L298" t="s">
        <v>330</v>
      </c>
      <c r="M298" t="str">
        <f t="shared" si="10"/>
        <v>January</v>
      </c>
      <c r="N298">
        <f t="shared" si="11"/>
        <v>2020</v>
      </c>
    </row>
    <row r="299" spans="1:14" x14ac:dyDescent="0.25">
      <c r="A299">
        <v>297</v>
      </c>
      <c r="B299" s="52">
        <v>43837</v>
      </c>
      <c r="C299" s="2">
        <v>45.5</v>
      </c>
      <c r="D299" t="s">
        <v>335</v>
      </c>
      <c r="E299" t="s">
        <v>28</v>
      </c>
      <c r="F299" t="s">
        <v>51</v>
      </c>
      <c r="H299" t="s">
        <v>29</v>
      </c>
      <c r="I299" t="s">
        <v>29</v>
      </c>
      <c r="J299" t="s">
        <v>46</v>
      </c>
      <c r="K299" s="13">
        <v>44206</v>
      </c>
      <c r="L299" t="s">
        <v>330</v>
      </c>
      <c r="M299" t="str">
        <f t="shared" si="10"/>
        <v>January</v>
      </c>
      <c r="N299">
        <f t="shared" si="11"/>
        <v>2020</v>
      </c>
    </row>
    <row r="300" spans="1:14" x14ac:dyDescent="0.25">
      <c r="A300">
        <v>298</v>
      </c>
      <c r="B300" s="52">
        <v>43837</v>
      </c>
      <c r="C300" s="2">
        <v>311.8</v>
      </c>
      <c r="D300" t="s">
        <v>336</v>
      </c>
      <c r="E300" t="s">
        <v>28</v>
      </c>
      <c r="F300" t="s">
        <v>51</v>
      </c>
      <c r="H300" t="s">
        <v>29</v>
      </c>
      <c r="I300" t="s">
        <v>29</v>
      </c>
      <c r="J300" t="s">
        <v>46</v>
      </c>
      <c r="K300" s="13">
        <v>44206</v>
      </c>
      <c r="L300" t="s">
        <v>330</v>
      </c>
      <c r="M300" t="str">
        <f t="shared" si="10"/>
        <v>January</v>
      </c>
      <c r="N300">
        <f t="shared" si="11"/>
        <v>2020</v>
      </c>
    </row>
    <row r="301" spans="1:14" x14ac:dyDescent="0.25">
      <c r="A301">
        <v>299</v>
      </c>
      <c r="B301" s="52">
        <v>43837</v>
      </c>
      <c r="C301" s="2">
        <v>311.8</v>
      </c>
      <c r="D301" t="s">
        <v>337</v>
      </c>
      <c r="E301" t="s">
        <v>28</v>
      </c>
      <c r="F301" t="s">
        <v>51</v>
      </c>
      <c r="H301" t="s">
        <v>29</v>
      </c>
      <c r="I301" t="s">
        <v>29</v>
      </c>
      <c r="J301" t="s">
        <v>46</v>
      </c>
      <c r="K301" s="13">
        <v>44206</v>
      </c>
      <c r="L301" t="s">
        <v>330</v>
      </c>
      <c r="M301" t="str">
        <f t="shared" si="10"/>
        <v>January</v>
      </c>
      <c r="N301">
        <f t="shared" si="11"/>
        <v>2020</v>
      </c>
    </row>
    <row r="302" spans="1:14" x14ac:dyDescent="0.25">
      <c r="A302">
        <v>300</v>
      </c>
      <c r="B302" s="52">
        <v>43839</v>
      </c>
      <c r="C302" s="2">
        <v>49.95</v>
      </c>
      <c r="D302" t="s">
        <v>338</v>
      </c>
      <c r="E302" t="s">
        <v>28</v>
      </c>
      <c r="F302" t="s">
        <v>35</v>
      </c>
      <c r="H302" t="s">
        <v>29</v>
      </c>
      <c r="I302" t="s">
        <v>29</v>
      </c>
      <c r="J302" t="s">
        <v>46</v>
      </c>
      <c r="K302" s="13">
        <v>44206</v>
      </c>
      <c r="L302" t="s">
        <v>330</v>
      </c>
      <c r="M302" t="str">
        <f t="shared" si="10"/>
        <v>January</v>
      </c>
      <c r="N302">
        <f t="shared" si="11"/>
        <v>2020</v>
      </c>
    </row>
    <row r="303" spans="1:14" x14ac:dyDescent="0.25">
      <c r="A303">
        <v>301</v>
      </c>
      <c r="B303" s="52">
        <v>43839</v>
      </c>
      <c r="C303" s="2">
        <v>98.58</v>
      </c>
      <c r="D303" t="s">
        <v>339</v>
      </c>
      <c r="E303" t="s">
        <v>28</v>
      </c>
      <c r="F303" t="s">
        <v>520</v>
      </c>
      <c r="H303" t="s">
        <v>29</v>
      </c>
      <c r="I303" t="s">
        <v>29</v>
      </c>
      <c r="J303" t="s">
        <v>46</v>
      </c>
      <c r="K303" s="13">
        <v>44206</v>
      </c>
      <c r="L303" t="s">
        <v>330</v>
      </c>
      <c r="M303" t="str">
        <f t="shared" si="10"/>
        <v>January</v>
      </c>
      <c r="N303">
        <f t="shared" si="11"/>
        <v>2020</v>
      </c>
    </row>
    <row r="304" spans="1:14" x14ac:dyDescent="0.25">
      <c r="A304">
        <v>302</v>
      </c>
      <c r="B304" s="52">
        <v>43840</v>
      </c>
      <c r="C304" s="2">
        <v>54.38</v>
      </c>
      <c r="D304" t="s">
        <v>340</v>
      </c>
      <c r="E304" t="s">
        <v>28</v>
      </c>
      <c r="F304" t="s">
        <v>50</v>
      </c>
      <c r="H304" t="s">
        <v>29</v>
      </c>
      <c r="I304" t="s">
        <v>29</v>
      </c>
      <c r="J304" t="s">
        <v>46</v>
      </c>
      <c r="K304" s="13">
        <v>44206</v>
      </c>
      <c r="L304" t="s">
        <v>330</v>
      </c>
      <c r="M304" t="str">
        <f t="shared" si="10"/>
        <v>January</v>
      </c>
      <c r="N304">
        <f t="shared" si="11"/>
        <v>2020</v>
      </c>
    </row>
    <row r="305" spans="1:14" x14ac:dyDescent="0.25">
      <c r="A305">
        <v>303</v>
      </c>
      <c r="B305" s="52">
        <v>43842</v>
      </c>
      <c r="C305" s="2">
        <v>206.64</v>
      </c>
      <c r="D305" t="s">
        <v>47</v>
      </c>
      <c r="E305" t="s">
        <v>28</v>
      </c>
      <c r="F305" t="s">
        <v>522</v>
      </c>
      <c r="H305" t="s">
        <v>29</v>
      </c>
      <c r="I305" t="s">
        <v>29</v>
      </c>
      <c r="J305" t="s">
        <v>46</v>
      </c>
      <c r="K305" s="13">
        <v>44206</v>
      </c>
      <c r="L305" t="s">
        <v>330</v>
      </c>
      <c r="M305" t="str">
        <f t="shared" si="10"/>
        <v>January</v>
      </c>
      <c r="N305">
        <f t="shared" si="11"/>
        <v>2020</v>
      </c>
    </row>
    <row r="306" spans="1:14" x14ac:dyDescent="0.25">
      <c r="A306">
        <v>304</v>
      </c>
      <c r="B306" s="52">
        <v>43842</v>
      </c>
      <c r="C306" s="2">
        <v>98.48</v>
      </c>
      <c r="D306" t="s">
        <v>48</v>
      </c>
      <c r="E306" t="s">
        <v>28</v>
      </c>
      <c r="F306" t="s">
        <v>519</v>
      </c>
      <c r="H306" t="s">
        <v>29</v>
      </c>
      <c r="I306" t="s">
        <v>29</v>
      </c>
      <c r="J306" t="s">
        <v>46</v>
      </c>
      <c r="K306" s="13">
        <v>44206</v>
      </c>
      <c r="L306" t="s">
        <v>330</v>
      </c>
      <c r="M306" t="str">
        <f t="shared" si="10"/>
        <v>January</v>
      </c>
      <c r="N306">
        <f t="shared" si="11"/>
        <v>2020</v>
      </c>
    </row>
    <row r="307" spans="1:14" x14ac:dyDescent="0.25">
      <c r="A307">
        <v>305</v>
      </c>
      <c r="B307" s="52">
        <v>43846</v>
      </c>
      <c r="C307" s="2">
        <v>25</v>
      </c>
      <c r="D307" t="s">
        <v>338</v>
      </c>
      <c r="E307" t="s">
        <v>28</v>
      </c>
      <c r="F307" t="s">
        <v>35</v>
      </c>
      <c r="H307" t="s">
        <v>29</v>
      </c>
      <c r="I307" t="s">
        <v>29</v>
      </c>
      <c r="J307" t="s">
        <v>46</v>
      </c>
      <c r="K307" s="13">
        <v>44206</v>
      </c>
      <c r="L307" t="s">
        <v>330</v>
      </c>
      <c r="M307" t="str">
        <f t="shared" si="10"/>
        <v>January</v>
      </c>
      <c r="N307">
        <f t="shared" si="11"/>
        <v>2020</v>
      </c>
    </row>
    <row r="308" spans="1:14" x14ac:dyDescent="0.25">
      <c r="A308">
        <v>306</v>
      </c>
      <c r="B308" s="52">
        <v>43847</v>
      </c>
      <c r="C308" s="2">
        <v>39.21</v>
      </c>
      <c r="D308" t="s">
        <v>341</v>
      </c>
      <c r="E308" t="s">
        <v>28</v>
      </c>
      <c r="F308" t="s">
        <v>32</v>
      </c>
      <c r="H308" t="s">
        <v>29</v>
      </c>
      <c r="I308" t="s">
        <v>29</v>
      </c>
      <c r="J308" t="s">
        <v>46</v>
      </c>
      <c r="K308" s="13">
        <v>44206</v>
      </c>
      <c r="L308" t="s">
        <v>330</v>
      </c>
      <c r="M308" t="str">
        <f t="shared" si="10"/>
        <v>January</v>
      </c>
      <c r="N308">
        <f t="shared" si="11"/>
        <v>2020</v>
      </c>
    </row>
    <row r="309" spans="1:14" x14ac:dyDescent="0.25">
      <c r="A309">
        <v>307</v>
      </c>
      <c r="B309" s="52">
        <v>43848</v>
      </c>
      <c r="C309" s="2">
        <v>19.059999999999999</v>
      </c>
      <c r="D309" t="s">
        <v>342</v>
      </c>
      <c r="E309" t="s">
        <v>28</v>
      </c>
      <c r="F309" t="s">
        <v>522</v>
      </c>
      <c r="H309" t="s">
        <v>29</v>
      </c>
      <c r="I309" t="s">
        <v>29</v>
      </c>
      <c r="J309" t="s">
        <v>46</v>
      </c>
      <c r="K309" s="13">
        <v>44206</v>
      </c>
      <c r="L309" t="s">
        <v>330</v>
      </c>
      <c r="M309" t="str">
        <f t="shared" si="10"/>
        <v>January</v>
      </c>
      <c r="N309">
        <f t="shared" si="11"/>
        <v>2020</v>
      </c>
    </row>
    <row r="310" spans="1:14" x14ac:dyDescent="0.25">
      <c r="A310">
        <v>308</v>
      </c>
      <c r="B310" s="52">
        <v>43848</v>
      </c>
      <c r="C310" s="2">
        <v>184.34</v>
      </c>
      <c r="D310" t="s">
        <v>343</v>
      </c>
      <c r="E310" t="s">
        <v>28</v>
      </c>
      <c r="F310" t="s">
        <v>522</v>
      </c>
      <c r="H310" t="s">
        <v>29</v>
      </c>
      <c r="I310" t="s">
        <v>29</v>
      </c>
      <c r="J310" t="s">
        <v>46</v>
      </c>
      <c r="K310" s="13">
        <v>44206</v>
      </c>
      <c r="L310" t="s">
        <v>330</v>
      </c>
      <c r="M310" t="str">
        <f t="shared" si="10"/>
        <v>January</v>
      </c>
      <c r="N310">
        <f t="shared" si="11"/>
        <v>2020</v>
      </c>
    </row>
    <row r="311" spans="1:14" x14ac:dyDescent="0.25">
      <c r="A311">
        <v>309</v>
      </c>
      <c r="B311" s="52">
        <v>43848</v>
      </c>
      <c r="C311" s="2">
        <v>2.2599999999999998</v>
      </c>
      <c r="D311" t="s">
        <v>344</v>
      </c>
      <c r="E311" t="s">
        <v>28</v>
      </c>
      <c r="F311" t="s">
        <v>50</v>
      </c>
      <c r="H311" t="s">
        <v>29</v>
      </c>
      <c r="I311" t="s">
        <v>29</v>
      </c>
      <c r="J311" t="s">
        <v>46</v>
      </c>
      <c r="K311" s="13">
        <v>44206</v>
      </c>
      <c r="L311" t="s">
        <v>330</v>
      </c>
      <c r="M311" t="str">
        <f t="shared" si="10"/>
        <v>January</v>
      </c>
      <c r="N311">
        <f t="shared" si="11"/>
        <v>2020</v>
      </c>
    </row>
    <row r="312" spans="1:14" x14ac:dyDescent="0.25">
      <c r="A312">
        <v>310</v>
      </c>
      <c r="B312" s="52">
        <v>43848</v>
      </c>
      <c r="C312" s="2">
        <v>32.840000000000003</v>
      </c>
      <c r="D312" t="s">
        <v>344</v>
      </c>
      <c r="E312" t="s">
        <v>28</v>
      </c>
      <c r="F312" t="s">
        <v>50</v>
      </c>
      <c r="H312" t="s">
        <v>29</v>
      </c>
      <c r="I312" t="s">
        <v>29</v>
      </c>
      <c r="J312" t="s">
        <v>46</v>
      </c>
      <c r="K312" s="13">
        <v>44206</v>
      </c>
      <c r="L312" t="s">
        <v>330</v>
      </c>
      <c r="M312" t="str">
        <f t="shared" si="10"/>
        <v>January</v>
      </c>
      <c r="N312">
        <f t="shared" si="11"/>
        <v>2020</v>
      </c>
    </row>
    <row r="313" spans="1:14" x14ac:dyDescent="0.25">
      <c r="A313">
        <v>311</v>
      </c>
      <c r="B313" s="52">
        <v>43848</v>
      </c>
      <c r="C313" s="2">
        <v>66.790000000000006</v>
      </c>
      <c r="D313" t="s">
        <v>345</v>
      </c>
      <c r="E313" t="s">
        <v>28</v>
      </c>
      <c r="F313" t="s">
        <v>520</v>
      </c>
      <c r="H313" t="s">
        <v>29</v>
      </c>
      <c r="I313" t="s">
        <v>29</v>
      </c>
      <c r="J313" t="s">
        <v>46</v>
      </c>
      <c r="K313" s="13">
        <v>44206</v>
      </c>
      <c r="L313" t="s">
        <v>330</v>
      </c>
      <c r="M313" t="str">
        <f t="shared" si="10"/>
        <v>January</v>
      </c>
      <c r="N313">
        <f t="shared" si="11"/>
        <v>2020</v>
      </c>
    </row>
    <row r="314" spans="1:14" x14ac:dyDescent="0.25">
      <c r="A314">
        <v>312</v>
      </c>
      <c r="B314" s="52">
        <v>43851</v>
      </c>
      <c r="C314" s="2">
        <v>82.98</v>
      </c>
      <c r="D314" t="s">
        <v>346</v>
      </c>
      <c r="E314" t="s">
        <v>28</v>
      </c>
      <c r="F314" t="s">
        <v>522</v>
      </c>
      <c r="H314" t="s">
        <v>29</v>
      </c>
      <c r="I314" t="s">
        <v>29</v>
      </c>
      <c r="J314" t="s">
        <v>46</v>
      </c>
      <c r="K314" s="13">
        <v>44206</v>
      </c>
      <c r="L314" t="s">
        <v>330</v>
      </c>
      <c r="M314" t="str">
        <f t="shared" si="10"/>
        <v>January</v>
      </c>
      <c r="N314">
        <f t="shared" si="11"/>
        <v>2020</v>
      </c>
    </row>
    <row r="315" spans="1:14" x14ac:dyDescent="0.25">
      <c r="A315">
        <v>313</v>
      </c>
      <c r="B315" s="52">
        <v>43854</v>
      </c>
      <c r="C315" s="2">
        <v>23.5</v>
      </c>
      <c r="D315" t="s">
        <v>347</v>
      </c>
      <c r="E315" t="s">
        <v>28</v>
      </c>
      <c r="F315" t="s">
        <v>50</v>
      </c>
      <c r="H315" t="s">
        <v>29</v>
      </c>
      <c r="I315" t="s">
        <v>29</v>
      </c>
      <c r="J315" t="s">
        <v>46</v>
      </c>
      <c r="K315" s="13">
        <v>44206</v>
      </c>
      <c r="L315" t="s">
        <v>330</v>
      </c>
      <c r="M315" t="str">
        <f t="shared" si="10"/>
        <v>January</v>
      </c>
      <c r="N315">
        <f t="shared" si="11"/>
        <v>2020</v>
      </c>
    </row>
    <row r="316" spans="1:14" x14ac:dyDescent="0.25">
      <c r="A316">
        <v>314</v>
      </c>
      <c r="B316" s="52">
        <v>43863</v>
      </c>
      <c r="C316" s="2">
        <v>43.53</v>
      </c>
      <c r="D316" t="s">
        <v>348</v>
      </c>
      <c r="E316" t="s">
        <v>28</v>
      </c>
      <c r="F316" t="s">
        <v>50</v>
      </c>
      <c r="H316" t="s">
        <v>29</v>
      </c>
      <c r="I316" t="s">
        <v>29</v>
      </c>
      <c r="J316" t="s">
        <v>46</v>
      </c>
      <c r="K316" s="13">
        <v>44206</v>
      </c>
      <c r="L316" t="s">
        <v>330</v>
      </c>
      <c r="M316" t="str">
        <f t="shared" si="10"/>
        <v>February</v>
      </c>
      <c r="N316">
        <f t="shared" si="11"/>
        <v>2020</v>
      </c>
    </row>
    <row r="317" spans="1:14" x14ac:dyDescent="0.25">
      <c r="A317">
        <v>315</v>
      </c>
      <c r="B317" s="52">
        <v>43867</v>
      </c>
      <c r="C317" s="2">
        <v>25</v>
      </c>
      <c r="D317" t="s">
        <v>349</v>
      </c>
      <c r="E317" t="s">
        <v>28</v>
      </c>
      <c r="F317" t="s">
        <v>52</v>
      </c>
      <c r="H317" t="s">
        <v>29</v>
      </c>
      <c r="I317" t="s">
        <v>29</v>
      </c>
      <c r="J317" t="s">
        <v>46</v>
      </c>
      <c r="K317" s="13">
        <v>44206</v>
      </c>
      <c r="L317" t="s">
        <v>330</v>
      </c>
      <c r="M317" t="str">
        <f t="shared" si="10"/>
        <v>February</v>
      </c>
      <c r="N317">
        <f t="shared" si="11"/>
        <v>2020</v>
      </c>
    </row>
    <row r="318" spans="1:14" x14ac:dyDescent="0.25">
      <c r="A318">
        <v>316</v>
      </c>
      <c r="B318" s="52">
        <v>43868</v>
      </c>
      <c r="C318" s="2">
        <v>42</v>
      </c>
      <c r="D318" t="s">
        <v>350</v>
      </c>
      <c r="E318" t="s">
        <v>28</v>
      </c>
      <c r="F318" t="s">
        <v>52</v>
      </c>
      <c r="H318" t="s">
        <v>29</v>
      </c>
      <c r="I318" t="s">
        <v>29</v>
      </c>
      <c r="J318" t="s">
        <v>46</v>
      </c>
      <c r="K318" s="13">
        <v>44206</v>
      </c>
      <c r="L318" t="s">
        <v>330</v>
      </c>
      <c r="M318" t="str">
        <f t="shared" si="10"/>
        <v>February</v>
      </c>
      <c r="N318">
        <f t="shared" si="11"/>
        <v>2020</v>
      </c>
    </row>
    <row r="319" spans="1:14" x14ac:dyDescent="0.25">
      <c r="A319">
        <v>317</v>
      </c>
      <c r="B319" s="52">
        <v>43869</v>
      </c>
      <c r="C319" s="2">
        <v>13</v>
      </c>
      <c r="D319" t="s">
        <v>351</v>
      </c>
      <c r="E319" t="s">
        <v>28</v>
      </c>
      <c r="F319" t="s">
        <v>50</v>
      </c>
      <c r="H319" t="s">
        <v>29</v>
      </c>
      <c r="I319" t="s">
        <v>29</v>
      </c>
      <c r="J319" t="s">
        <v>46</v>
      </c>
      <c r="K319" s="13">
        <v>44206</v>
      </c>
      <c r="L319" t="s">
        <v>330</v>
      </c>
      <c r="M319" t="str">
        <f t="shared" si="10"/>
        <v>February</v>
      </c>
      <c r="N319">
        <f t="shared" si="11"/>
        <v>2020</v>
      </c>
    </row>
    <row r="320" spans="1:14" x14ac:dyDescent="0.25">
      <c r="A320">
        <v>318</v>
      </c>
      <c r="B320" s="52">
        <v>43869</v>
      </c>
      <c r="C320" s="2">
        <v>8</v>
      </c>
      <c r="D320" t="s">
        <v>352</v>
      </c>
      <c r="E320" t="s">
        <v>28</v>
      </c>
      <c r="F320" t="s">
        <v>32</v>
      </c>
      <c r="H320" t="s">
        <v>29</v>
      </c>
      <c r="I320" t="s">
        <v>29</v>
      </c>
      <c r="J320" t="s">
        <v>46</v>
      </c>
      <c r="K320" s="13">
        <v>44206</v>
      </c>
      <c r="L320" t="s">
        <v>330</v>
      </c>
      <c r="M320" t="str">
        <f t="shared" si="10"/>
        <v>February</v>
      </c>
      <c r="N320">
        <f t="shared" si="11"/>
        <v>2020</v>
      </c>
    </row>
    <row r="321" spans="1:14" x14ac:dyDescent="0.25">
      <c r="A321">
        <v>319</v>
      </c>
      <c r="B321" s="52">
        <v>43870</v>
      </c>
      <c r="C321" s="2">
        <v>16.3</v>
      </c>
      <c r="D321" t="s">
        <v>353</v>
      </c>
      <c r="E321" t="s">
        <v>28</v>
      </c>
      <c r="F321" t="s">
        <v>50</v>
      </c>
      <c r="H321" t="s">
        <v>29</v>
      </c>
      <c r="I321" t="s">
        <v>29</v>
      </c>
      <c r="J321" t="s">
        <v>46</v>
      </c>
      <c r="K321" s="13">
        <v>44206</v>
      </c>
      <c r="L321" t="s">
        <v>330</v>
      </c>
      <c r="M321" t="str">
        <f t="shared" si="10"/>
        <v>February</v>
      </c>
      <c r="N321">
        <f t="shared" si="11"/>
        <v>2020</v>
      </c>
    </row>
    <row r="322" spans="1:14" x14ac:dyDescent="0.25">
      <c r="A322">
        <v>320</v>
      </c>
      <c r="B322" s="52">
        <v>43871</v>
      </c>
      <c r="C322" s="2">
        <v>69.95</v>
      </c>
      <c r="D322" t="s">
        <v>354</v>
      </c>
      <c r="E322" t="s">
        <v>28</v>
      </c>
      <c r="F322" t="s">
        <v>51</v>
      </c>
      <c r="H322" t="s">
        <v>29</v>
      </c>
      <c r="I322" t="s">
        <v>29</v>
      </c>
      <c r="J322" t="s">
        <v>46</v>
      </c>
      <c r="K322" s="13">
        <v>44206</v>
      </c>
      <c r="L322" t="s">
        <v>330</v>
      </c>
      <c r="M322" t="str">
        <f t="shared" si="10"/>
        <v>February</v>
      </c>
      <c r="N322">
        <f t="shared" si="11"/>
        <v>2020</v>
      </c>
    </row>
    <row r="323" spans="1:14" x14ac:dyDescent="0.25">
      <c r="A323">
        <v>321</v>
      </c>
      <c r="B323" s="52">
        <v>43871</v>
      </c>
      <c r="C323" s="2">
        <v>17.23</v>
      </c>
      <c r="D323" t="s">
        <v>355</v>
      </c>
      <c r="E323" t="s">
        <v>28</v>
      </c>
      <c r="F323" t="s">
        <v>519</v>
      </c>
      <c r="H323" t="s">
        <v>29</v>
      </c>
      <c r="I323" t="s">
        <v>29</v>
      </c>
      <c r="J323" t="s">
        <v>46</v>
      </c>
      <c r="K323" s="13">
        <v>44206</v>
      </c>
      <c r="L323" t="s">
        <v>330</v>
      </c>
      <c r="M323" t="str">
        <f t="shared" ref="M323:M386" si="12">TEXT(B323,"mmmm")</f>
        <v>February</v>
      </c>
      <c r="N323">
        <f t="shared" ref="N323:N386" si="13">YEAR(B323)</f>
        <v>2020</v>
      </c>
    </row>
    <row r="324" spans="1:14" x14ac:dyDescent="0.25">
      <c r="A324">
        <v>322</v>
      </c>
      <c r="B324" s="52">
        <v>43876</v>
      </c>
      <c r="C324" s="2">
        <v>24.5</v>
      </c>
      <c r="D324" t="s">
        <v>356</v>
      </c>
      <c r="E324" t="s">
        <v>28</v>
      </c>
      <c r="F324" t="s">
        <v>50</v>
      </c>
      <c r="H324" t="s">
        <v>29</v>
      </c>
      <c r="I324" t="s">
        <v>29</v>
      </c>
      <c r="J324" t="s">
        <v>46</v>
      </c>
      <c r="K324" s="13">
        <v>44206</v>
      </c>
      <c r="L324" t="s">
        <v>330</v>
      </c>
      <c r="M324" t="str">
        <f t="shared" si="12"/>
        <v>February</v>
      </c>
      <c r="N324">
        <f t="shared" si="13"/>
        <v>2020</v>
      </c>
    </row>
    <row r="325" spans="1:14" x14ac:dyDescent="0.25">
      <c r="A325">
        <v>323</v>
      </c>
      <c r="B325" s="52">
        <v>43876</v>
      </c>
      <c r="C325" s="2">
        <v>39.6</v>
      </c>
      <c r="D325" t="s">
        <v>357</v>
      </c>
      <c r="E325" t="s">
        <v>28</v>
      </c>
      <c r="F325" t="s">
        <v>51</v>
      </c>
      <c r="H325" t="s">
        <v>29</v>
      </c>
      <c r="I325" t="s">
        <v>29</v>
      </c>
      <c r="J325" t="s">
        <v>46</v>
      </c>
      <c r="K325" s="13">
        <v>44206</v>
      </c>
      <c r="L325" t="s">
        <v>330</v>
      </c>
      <c r="M325" t="str">
        <f t="shared" si="12"/>
        <v>February</v>
      </c>
      <c r="N325">
        <f t="shared" si="13"/>
        <v>2020</v>
      </c>
    </row>
    <row r="326" spans="1:14" x14ac:dyDescent="0.25">
      <c r="A326">
        <v>324</v>
      </c>
      <c r="B326" s="52">
        <v>43877</v>
      </c>
      <c r="C326" s="2">
        <v>19.8</v>
      </c>
      <c r="D326" t="s">
        <v>357</v>
      </c>
      <c r="E326" t="s">
        <v>28</v>
      </c>
      <c r="F326" t="s">
        <v>51</v>
      </c>
      <c r="H326" t="s">
        <v>29</v>
      </c>
      <c r="I326" t="s">
        <v>29</v>
      </c>
      <c r="J326" t="s">
        <v>46</v>
      </c>
      <c r="K326" s="13">
        <v>44206</v>
      </c>
      <c r="L326" t="s">
        <v>330</v>
      </c>
      <c r="M326" t="str">
        <f t="shared" si="12"/>
        <v>February</v>
      </c>
      <c r="N326">
        <f t="shared" si="13"/>
        <v>2020</v>
      </c>
    </row>
    <row r="327" spans="1:14" x14ac:dyDescent="0.25">
      <c r="A327">
        <v>325</v>
      </c>
      <c r="B327" s="52">
        <v>43877</v>
      </c>
      <c r="C327" s="2">
        <v>6.94</v>
      </c>
      <c r="D327" t="s">
        <v>358</v>
      </c>
      <c r="E327" t="s">
        <v>28</v>
      </c>
      <c r="F327" t="s">
        <v>51</v>
      </c>
      <c r="H327" t="s">
        <v>29</v>
      </c>
      <c r="I327" t="s">
        <v>29</v>
      </c>
      <c r="J327" t="s">
        <v>46</v>
      </c>
      <c r="K327" s="13">
        <v>44206</v>
      </c>
      <c r="L327" t="s">
        <v>330</v>
      </c>
      <c r="M327" t="str">
        <f t="shared" si="12"/>
        <v>February</v>
      </c>
      <c r="N327">
        <f t="shared" si="13"/>
        <v>2020</v>
      </c>
    </row>
    <row r="328" spans="1:14" x14ac:dyDescent="0.25">
      <c r="A328">
        <v>326</v>
      </c>
      <c r="B328" s="52">
        <v>43877</v>
      </c>
      <c r="C328" s="2">
        <v>98</v>
      </c>
      <c r="D328" t="s">
        <v>359</v>
      </c>
      <c r="E328" t="s">
        <v>28</v>
      </c>
      <c r="F328" t="s">
        <v>51</v>
      </c>
      <c r="H328" t="s">
        <v>29</v>
      </c>
      <c r="I328" t="s">
        <v>29</v>
      </c>
      <c r="J328" t="s">
        <v>46</v>
      </c>
      <c r="K328" s="13">
        <v>44206</v>
      </c>
      <c r="L328" t="s">
        <v>330</v>
      </c>
      <c r="M328" t="str">
        <f t="shared" si="12"/>
        <v>February</v>
      </c>
      <c r="N328">
        <f t="shared" si="13"/>
        <v>2020</v>
      </c>
    </row>
    <row r="329" spans="1:14" x14ac:dyDescent="0.25">
      <c r="A329">
        <v>327</v>
      </c>
      <c r="B329" s="52">
        <v>43878</v>
      </c>
      <c r="C329" s="2">
        <v>24.16</v>
      </c>
      <c r="D329" t="s">
        <v>360</v>
      </c>
      <c r="E329" t="s">
        <v>28</v>
      </c>
      <c r="F329" t="s">
        <v>50</v>
      </c>
      <c r="H329" t="s">
        <v>29</v>
      </c>
      <c r="I329" t="s">
        <v>29</v>
      </c>
      <c r="J329" t="s">
        <v>46</v>
      </c>
      <c r="K329" s="13">
        <v>44206</v>
      </c>
      <c r="L329" t="s">
        <v>330</v>
      </c>
      <c r="M329" t="str">
        <f t="shared" si="12"/>
        <v>February</v>
      </c>
      <c r="N329">
        <f t="shared" si="13"/>
        <v>2020</v>
      </c>
    </row>
    <row r="330" spans="1:14" x14ac:dyDescent="0.25">
      <c r="A330">
        <v>328</v>
      </c>
      <c r="B330" s="52">
        <v>43882</v>
      </c>
      <c r="C330" s="2">
        <v>98.4</v>
      </c>
      <c r="D330" t="s">
        <v>361</v>
      </c>
      <c r="E330" t="s">
        <v>28</v>
      </c>
      <c r="F330" t="s">
        <v>35</v>
      </c>
      <c r="H330" t="s">
        <v>29</v>
      </c>
      <c r="I330" t="s">
        <v>29</v>
      </c>
      <c r="J330" t="s">
        <v>46</v>
      </c>
      <c r="K330" s="13">
        <v>44206</v>
      </c>
      <c r="L330" t="s">
        <v>330</v>
      </c>
      <c r="M330" t="str">
        <f t="shared" si="12"/>
        <v>February</v>
      </c>
      <c r="N330">
        <f t="shared" si="13"/>
        <v>2020</v>
      </c>
    </row>
    <row r="331" spans="1:14" x14ac:dyDescent="0.25">
      <c r="A331">
        <v>329</v>
      </c>
      <c r="B331" s="52">
        <v>43883</v>
      </c>
      <c r="C331" s="2">
        <v>22</v>
      </c>
      <c r="D331" t="s">
        <v>362</v>
      </c>
      <c r="E331" t="s">
        <v>28</v>
      </c>
      <c r="F331" t="s">
        <v>50</v>
      </c>
      <c r="H331" t="s">
        <v>29</v>
      </c>
      <c r="I331" t="s">
        <v>29</v>
      </c>
      <c r="J331" t="s">
        <v>46</v>
      </c>
      <c r="K331" s="13">
        <v>44206</v>
      </c>
      <c r="L331" t="s">
        <v>330</v>
      </c>
      <c r="M331" t="str">
        <f t="shared" si="12"/>
        <v>February</v>
      </c>
      <c r="N331">
        <f t="shared" si="13"/>
        <v>2020</v>
      </c>
    </row>
    <row r="332" spans="1:14" x14ac:dyDescent="0.25">
      <c r="A332">
        <v>330</v>
      </c>
      <c r="B332" s="52">
        <v>43883</v>
      </c>
      <c r="C332" s="2">
        <v>5.99</v>
      </c>
      <c r="D332" t="s">
        <v>363</v>
      </c>
      <c r="E332" t="s">
        <v>28</v>
      </c>
      <c r="F332" t="s">
        <v>519</v>
      </c>
      <c r="H332" t="s">
        <v>29</v>
      </c>
      <c r="I332" t="s">
        <v>29</v>
      </c>
      <c r="J332" t="s">
        <v>46</v>
      </c>
      <c r="K332" s="13">
        <v>44206</v>
      </c>
      <c r="L332" t="s">
        <v>330</v>
      </c>
      <c r="M332" t="str">
        <f t="shared" si="12"/>
        <v>February</v>
      </c>
      <c r="N332">
        <f t="shared" si="13"/>
        <v>2020</v>
      </c>
    </row>
    <row r="333" spans="1:14" x14ac:dyDescent="0.25">
      <c r="A333">
        <v>331</v>
      </c>
      <c r="B333" s="52">
        <v>43884</v>
      </c>
      <c r="C333" s="2">
        <v>108.12</v>
      </c>
      <c r="D333" t="s">
        <v>364</v>
      </c>
      <c r="E333" t="s">
        <v>28</v>
      </c>
      <c r="F333" t="s">
        <v>520</v>
      </c>
      <c r="H333" t="s">
        <v>29</v>
      </c>
      <c r="I333" t="s">
        <v>29</v>
      </c>
      <c r="J333" t="s">
        <v>46</v>
      </c>
      <c r="K333" s="13">
        <v>44206</v>
      </c>
      <c r="L333" t="s">
        <v>330</v>
      </c>
      <c r="M333" t="str">
        <f t="shared" si="12"/>
        <v>February</v>
      </c>
      <c r="N333">
        <f t="shared" si="13"/>
        <v>2020</v>
      </c>
    </row>
    <row r="334" spans="1:14" x14ac:dyDescent="0.25">
      <c r="A334">
        <v>332</v>
      </c>
      <c r="B334" s="52">
        <v>43884</v>
      </c>
      <c r="C334" s="2">
        <v>83.08</v>
      </c>
      <c r="D334" t="s">
        <v>365</v>
      </c>
      <c r="E334" t="s">
        <v>28</v>
      </c>
      <c r="F334" t="s">
        <v>50</v>
      </c>
      <c r="H334" t="s">
        <v>29</v>
      </c>
      <c r="I334" t="s">
        <v>29</v>
      </c>
      <c r="J334" t="s">
        <v>46</v>
      </c>
      <c r="K334" s="13">
        <v>44206</v>
      </c>
      <c r="L334" t="s">
        <v>330</v>
      </c>
      <c r="M334" t="str">
        <f t="shared" si="12"/>
        <v>February</v>
      </c>
      <c r="N334">
        <f t="shared" si="13"/>
        <v>2020</v>
      </c>
    </row>
    <row r="335" spans="1:14" x14ac:dyDescent="0.25">
      <c r="A335">
        <v>333</v>
      </c>
      <c r="B335" s="52">
        <v>43888</v>
      </c>
      <c r="C335" s="2">
        <v>6.94</v>
      </c>
      <c r="D335" t="s">
        <v>366</v>
      </c>
      <c r="E335" t="s">
        <v>28</v>
      </c>
      <c r="F335" t="s">
        <v>50</v>
      </c>
      <c r="H335" t="s">
        <v>29</v>
      </c>
      <c r="I335" t="s">
        <v>29</v>
      </c>
      <c r="J335" t="s">
        <v>46</v>
      </c>
      <c r="K335" s="13">
        <v>44206</v>
      </c>
      <c r="L335" t="s">
        <v>330</v>
      </c>
      <c r="M335" t="str">
        <f t="shared" si="12"/>
        <v>February</v>
      </c>
      <c r="N335">
        <f t="shared" si="13"/>
        <v>2020</v>
      </c>
    </row>
    <row r="336" spans="1:14" x14ac:dyDescent="0.25">
      <c r="A336">
        <v>334</v>
      </c>
      <c r="B336" s="52">
        <v>43888</v>
      </c>
      <c r="C336" s="2">
        <v>3.13</v>
      </c>
      <c r="D336" t="s">
        <v>367</v>
      </c>
      <c r="E336" t="s">
        <v>28</v>
      </c>
      <c r="F336" t="s">
        <v>50</v>
      </c>
      <c r="H336" t="s">
        <v>29</v>
      </c>
      <c r="I336" t="s">
        <v>29</v>
      </c>
      <c r="J336" t="s">
        <v>46</v>
      </c>
      <c r="K336" s="13">
        <v>44206</v>
      </c>
      <c r="L336" t="s">
        <v>330</v>
      </c>
      <c r="M336" t="str">
        <f t="shared" si="12"/>
        <v>February</v>
      </c>
      <c r="N336">
        <f t="shared" si="13"/>
        <v>2020</v>
      </c>
    </row>
    <row r="337" spans="1:14" x14ac:dyDescent="0.25">
      <c r="A337">
        <v>335</v>
      </c>
      <c r="B337" s="52">
        <v>43889</v>
      </c>
      <c r="C337" s="2">
        <v>4.1900000000000004</v>
      </c>
      <c r="D337" t="s">
        <v>368</v>
      </c>
      <c r="E337" t="s">
        <v>28</v>
      </c>
      <c r="F337" t="s">
        <v>519</v>
      </c>
      <c r="H337" t="s">
        <v>29</v>
      </c>
      <c r="I337" t="s">
        <v>29</v>
      </c>
      <c r="J337" t="s">
        <v>46</v>
      </c>
      <c r="K337" s="13">
        <v>44206</v>
      </c>
      <c r="L337" t="s">
        <v>330</v>
      </c>
      <c r="M337" t="str">
        <f t="shared" si="12"/>
        <v>February</v>
      </c>
      <c r="N337">
        <f t="shared" si="13"/>
        <v>2020</v>
      </c>
    </row>
    <row r="338" spans="1:14" x14ac:dyDescent="0.25">
      <c r="A338">
        <v>336</v>
      </c>
      <c r="B338" s="52">
        <v>43890</v>
      </c>
      <c r="C338" s="2">
        <v>180</v>
      </c>
      <c r="D338" t="s">
        <v>369</v>
      </c>
      <c r="E338" t="s">
        <v>28</v>
      </c>
      <c r="F338" t="s">
        <v>35</v>
      </c>
      <c r="H338" t="s">
        <v>29</v>
      </c>
      <c r="I338" t="s">
        <v>29</v>
      </c>
      <c r="J338" t="s">
        <v>46</v>
      </c>
      <c r="K338" s="13">
        <v>44206</v>
      </c>
      <c r="L338" t="s">
        <v>330</v>
      </c>
      <c r="M338" t="str">
        <f t="shared" si="12"/>
        <v>February</v>
      </c>
      <c r="N338">
        <f t="shared" si="13"/>
        <v>2020</v>
      </c>
    </row>
    <row r="339" spans="1:14" x14ac:dyDescent="0.25">
      <c r="A339">
        <v>337</v>
      </c>
      <c r="B339" s="52">
        <v>43890</v>
      </c>
      <c r="C339" s="2">
        <v>24</v>
      </c>
      <c r="D339" t="s">
        <v>370</v>
      </c>
      <c r="E339" t="s">
        <v>28</v>
      </c>
      <c r="F339" t="s">
        <v>520</v>
      </c>
      <c r="H339" t="s">
        <v>29</v>
      </c>
      <c r="I339" t="s">
        <v>29</v>
      </c>
      <c r="J339" t="s">
        <v>46</v>
      </c>
      <c r="K339" s="13">
        <v>44206</v>
      </c>
      <c r="L339" t="s">
        <v>330</v>
      </c>
      <c r="M339" t="str">
        <f t="shared" si="12"/>
        <v>February</v>
      </c>
      <c r="N339">
        <f t="shared" si="13"/>
        <v>2020</v>
      </c>
    </row>
    <row r="340" spans="1:14" x14ac:dyDescent="0.25">
      <c r="A340">
        <v>338</v>
      </c>
      <c r="B340" s="52">
        <v>43890</v>
      </c>
      <c r="C340" s="2">
        <v>150.11000000000001</v>
      </c>
      <c r="D340" t="s">
        <v>371</v>
      </c>
      <c r="E340" t="s">
        <v>28</v>
      </c>
      <c r="F340" t="s">
        <v>35</v>
      </c>
      <c r="H340" t="s">
        <v>29</v>
      </c>
      <c r="I340" t="s">
        <v>29</v>
      </c>
      <c r="J340" t="s">
        <v>46</v>
      </c>
      <c r="K340" s="13">
        <v>44206</v>
      </c>
      <c r="L340" t="s">
        <v>330</v>
      </c>
      <c r="M340" t="str">
        <f t="shared" si="12"/>
        <v>February</v>
      </c>
      <c r="N340">
        <f t="shared" si="13"/>
        <v>2020</v>
      </c>
    </row>
    <row r="341" spans="1:14" x14ac:dyDescent="0.25">
      <c r="A341">
        <v>339</v>
      </c>
      <c r="B341" s="52">
        <v>43890</v>
      </c>
      <c r="C341" s="2">
        <v>49</v>
      </c>
      <c r="D341" t="s">
        <v>372</v>
      </c>
      <c r="E341" t="s">
        <v>28</v>
      </c>
      <c r="F341" t="s">
        <v>33</v>
      </c>
      <c r="H341" t="s">
        <v>29</v>
      </c>
      <c r="I341" t="s">
        <v>29</v>
      </c>
      <c r="J341" t="s">
        <v>46</v>
      </c>
      <c r="K341" s="13">
        <v>44206</v>
      </c>
      <c r="L341" t="s">
        <v>330</v>
      </c>
      <c r="M341" t="str">
        <f t="shared" si="12"/>
        <v>February</v>
      </c>
      <c r="N341">
        <f t="shared" si="13"/>
        <v>2020</v>
      </c>
    </row>
    <row r="342" spans="1:14" x14ac:dyDescent="0.25">
      <c r="A342">
        <v>340</v>
      </c>
      <c r="B342" s="52">
        <v>43890</v>
      </c>
      <c r="C342" s="2">
        <v>81</v>
      </c>
      <c r="D342" t="s">
        <v>373</v>
      </c>
      <c r="E342" t="s">
        <v>28</v>
      </c>
      <c r="F342" t="s">
        <v>35</v>
      </c>
      <c r="H342" t="s">
        <v>29</v>
      </c>
      <c r="I342" t="s">
        <v>29</v>
      </c>
      <c r="J342" t="s">
        <v>46</v>
      </c>
      <c r="K342" s="13">
        <v>44206</v>
      </c>
      <c r="L342" t="s">
        <v>330</v>
      </c>
      <c r="M342" t="str">
        <f t="shared" si="12"/>
        <v>February</v>
      </c>
      <c r="N342">
        <f t="shared" si="13"/>
        <v>2020</v>
      </c>
    </row>
    <row r="343" spans="1:14" x14ac:dyDescent="0.25">
      <c r="A343">
        <v>341</v>
      </c>
      <c r="B343" s="52">
        <v>43891</v>
      </c>
      <c r="C343" s="2">
        <v>4.93</v>
      </c>
      <c r="D343" t="s">
        <v>374</v>
      </c>
      <c r="E343" t="s">
        <v>28</v>
      </c>
      <c r="F343" t="s">
        <v>519</v>
      </c>
      <c r="H343" t="s">
        <v>29</v>
      </c>
      <c r="I343" t="s">
        <v>29</v>
      </c>
      <c r="J343" t="s">
        <v>46</v>
      </c>
      <c r="K343" s="13">
        <v>44206</v>
      </c>
      <c r="L343" t="s">
        <v>330</v>
      </c>
      <c r="M343" t="str">
        <f t="shared" si="12"/>
        <v>March</v>
      </c>
      <c r="N343">
        <f t="shared" si="13"/>
        <v>2020</v>
      </c>
    </row>
    <row r="344" spans="1:14" x14ac:dyDescent="0.25">
      <c r="A344">
        <v>342</v>
      </c>
      <c r="B344" s="52">
        <v>43891</v>
      </c>
      <c r="C344" s="2">
        <v>13.02</v>
      </c>
      <c r="D344" t="s">
        <v>375</v>
      </c>
      <c r="E344" t="s">
        <v>28</v>
      </c>
      <c r="F344" t="s">
        <v>50</v>
      </c>
      <c r="G344" t="s">
        <v>514</v>
      </c>
      <c r="H344" t="s">
        <v>29</v>
      </c>
      <c r="I344" t="s">
        <v>29</v>
      </c>
      <c r="J344" t="s">
        <v>46</v>
      </c>
      <c r="K344" s="13">
        <v>44206</v>
      </c>
      <c r="L344" t="s">
        <v>330</v>
      </c>
      <c r="M344" t="str">
        <f t="shared" si="12"/>
        <v>March</v>
      </c>
      <c r="N344">
        <f t="shared" si="13"/>
        <v>2020</v>
      </c>
    </row>
    <row r="345" spans="1:14" x14ac:dyDescent="0.25">
      <c r="A345">
        <v>343</v>
      </c>
      <c r="B345" s="52">
        <v>43893</v>
      </c>
      <c r="C345" s="2">
        <v>6.36</v>
      </c>
      <c r="D345" t="s">
        <v>376</v>
      </c>
      <c r="E345" t="s">
        <v>28</v>
      </c>
      <c r="F345" t="s">
        <v>55</v>
      </c>
      <c r="H345" t="s">
        <v>29</v>
      </c>
      <c r="I345" t="s">
        <v>29</v>
      </c>
      <c r="J345" t="s">
        <v>46</v>
      </c>
      <c r="K345" s="13">
        <v>44206</v>
      </c>
      <c r="L345" t="s">
        <v>330</v>
      </c>
      <c r="M345" t="str">
        <f t="shared" si="12"/>
        <v>March</v>
      </c>
      <c r="N345">
        <f t="shared" si="13"/>
        <v>2020</v>
      </c>
    </row>
    <row r="346" spans="1:14" x14ac:dyDescent="0.25">
      <c r="A346">
        <v>344</v>
      </c>
      <c r="B346" s="52">
        <v>43894</v>
      </c>
      <c r="C346" s="2">
        <v>1.3</v>
      </c>
      <c r="D346" t="s">
        <v>377</v>
      </c>
      <c r="E346" t="s">
        <v>28</v>
      </c>
      <c r="F346" t="s">
        <v>50</v>
      </c>
      <c r="H346" t="s">
        <v>29</v>
      </c>
      <c r="I346" t="s">
        <v>29</v>
      </c>
      <c r="J346" t="s">
        <v>46</v>
      </c>
      <c r="K346" s="13">
        <v>44206</v>
      </c>
      <c r="L346" t="s">
        <v>330</v>
      </c>
      <c r="M346" t="str">
        <f t="shared" si="12"/>
        <v>March</v>
      </c>
      <c r="N346">
        <f t="shared" si="13"/>
        <v>2020</v>
      </c>
    </row>
    <row r="347" spans="1:14" x14ac:dyDescent="0.25">
      <c r="A347">
        <v>345</v>
      </c>
      <c r="B347" s="52">
        <v>43895</v>
      </c>
      <c r="C347" s="2">
        <v>2.5</v>
      </c>
      <c r="D347" t="s">
        <v>378</v>
      </c>
      <c r="E347" t="s">
        <v>28</v>
      </c>
      <c r="F347" t="s">
        <v>50</v>
      </c>
      <c r="H347" t="s">
        <v>29</v>
      </c>
      <c r="I347" t="s">
        <v>29</v>
      </c>
      <c r="J347" t="s">
        <v>46</v>
      </c>
      <c r="K347" s="13">
        <v>44206</v>
      </c>
      <c r="L347" t="s">
        <v>330</v>
      </c>
      <c r="M347" t="str">
        <f t="shared" si="12"/>
        <v>March</v>
      </c>
      <c r="N347">
        <f t="shared" si="13"/>
        <v>2020</v>
      </c>
    </row>
    <row r="348" spans="1:14" x14ac:dyDescent="0.25">
      <c r="A348">
        <v>346</v>
      </c>
      <c r="B348" s="52">
        <v>43895</v>
      </c>
      <c r="C348" s="2">
        <v>13.67</v>
      </c>
      <c r="D348" t="s">
        <v>366</v>
      </c>
      <c r="E348" t="s">
        <v>28</v>
      </c>
      <c r="F348" t="s">
        <v>50</v>
      </c>
      <c r="H348" t="s">
        <v>29</v>
      </c>
      <c r="I348" t="s">
        <v>29</v>
      </c>
      <c r="J348" t="s">
        <v>46</v>
      </c>
      <c r="K348" s="13">
        <v>44206</v>
      </c>
      <c r="L348" t="s">
        <v>330</v>
      </c>
      <c r="M348" t="str">
        <f t="shared" si="12"/>
        <v>March</v>
      </c>
      <c r="N348">
        <f t="shared" si="13"/>
        <v>2020</v>
      </c>
    </row>
    <row r="349" spans="1:14" x14ac:dyDescent="0.25">
      <c r="A349">
        <v>347</v>
      </c>
      <c r="B349" s="52">
        <v>43896</v>
      </c>
      <c r="C349" s="2">
        <v>4.18</v>
      </c>
      <c r="D349" t="s">
        <v>379</v>
      </c>
      <c r="E349" t="s">
        <v>28</v>
      </c>
      <c r="F349" t="s">
        <v>53</v>
      </c>
      <c r="H349" t="s">
        <v>29</v>
      </c>
      <c r="I349" t="s">
        <v>29</v>
      </c>
      <c r="J349" t="s">
        <v>46</v>
      </c>
      <c r="K349" s="13">
        <v>44206</v>
      </c>
      <c r="L349" t="s">
        <v>330</v>
      </c>
      <c r="M349" t="str">
        <f t="shared" si="12"/>
        <v>March</v>
      </c>
      <c r="N349">
        <f t="shared" si="13"/>
        <v>2020</v>
      </c>
    </row>
    <row r="350" spans="1:14" x14ac:dyDescent="0.25">
      <c r="A350">
        <v>348</v>
      </c>
      <c r="B350" s="52">
        <v>43897</v>
      </c>
      <c r="C350" s="2">
        <v>25</v>
      </c>
      <c r="D350" t="s">
        <v>380</v>
      </c>
      <c r="E350" t="s">
        <v>28</v>
      </c>
      <c r="F350" t="s">
        <v>53</v>
      </c>
      <c r="H350" t="s">
        <v>29</v>
      </c>
      <c r="I350" t="s">
        <v>29</v>
      </c>
      <c r="J350" t="s">
        <v>46</v>
      </c>
      <c r="K350" s="13">
        <v>44206</v>
      </c>
      <c r="L350" t="s">
        <v>330</v>
      </c>
      <c r="M350" t="str">
        <f t="shared" si="12"/>
        <v>March</v>
      </c>
      <c r="N350">
        <f t="shared" si="13"/>
        <v>2020</v>
      </c>
    </row>
    <row r="351" spans="1:14" x14ac:dyDescent="0.25">
      <c r="A351">
        <v>349</v>
      </c>
      <c r="B351" s="52">
        <v>43899</v>
      </c>
      <c r="C351" s="2">
        <v>8.2200000000000006</v>
      </c>
      <c r="D351" t="s">
        <v>381</v>
      </c>
      <c r="E351" t="s">
        <v>28</v>
      </c>
      <c r="F351" t="s">
        <v>51</v>
      </c>
      <c r="H351" t="s">
        <v>29</v>
      </c>
      <c r="I351" t="s">
        <v>29</v>
      </c>
      <c r="J351" t="s">
        <v>46</v>
      </c>
      <c r="K351" s="13">
        <v>44206</v>
      </c>
      <c r="L351" t="s">
        <v>330</v>
      </c>
      <c r="M351" t="str">
        <f t="shared" si="12"/>
        <v>March</v>
      </c>
      <c r="N351">
        <f t="shared" si="13"/>
        <v>2020</v>
      </c>
    </row>
    <row r="352" spans="1:14" x14ac:dyDescent="0.25">
      <c r="A352">
        <v>350</v>
      </c>
      <c r="B352" s="52">
        <v>43899</v>
      </c>
      <c r="C352" s="2">
        <v>9.14</v>
      </c>
      <c r="D352" t="s">
        <v>382</v>
      </c>
      <c r="E352" t="s">
        <v>28</v>
      </c>
      <c r="F352" t="s">
        <v>51</v>
      </c>
      <c r="H352" t="s">
        <v>29</v>
      </c>
      <c r="I352" t="s">
        <v>29</v>
      </c>
      <c r="J352" t="s">
        <v>46</v>
      </c>
      <c r="K352" s="13">
        <v>44206</v>
      </c>
      <c r="L352" t="s">
        <v>330</v>
      </c>
      <c r="M352" t="str">
        <f t="shared" si="12"/>
        <v>March</v>
      </c>
      <c r="N352">
        <f t="shared" si="13"/>
        <v>2020</v>
      </c>
    </row>
    <row r="353" spans="1:14" x14ac:dyDescent="0.25">
      <c r="A353">
        <v>351</v>
      </c>
      <c r="B353" s="52">
        <v>43901</v>
      </c>
      <c r="C353" s="2">
        <v>16.260000000000002</v>
      </c>
      <c r="D353" t="s">
        <v>383</v>
      </c>
      <c r="E353" t="s">
        <v>28</v>
      </c>
      <c r="F353" t="s">
        <v>50</v>
      </c>
      <c r="H353" t="s">
        <v>29</v>
      </c>
      <c r="I353" t="s">
        <v>29</v>
      </c>
      <c r="J353" t="s">
        <v>46</v>
      </c>
      <c r="K353" s="13">
        <v>44206</v>
      </c>
      <c r="L353" t="s">
        <v>330</v>
      </c>
      <c r="M353" t="str">
        <f t="shared" si="12"/>
        <v>March</v>
      </c>
      <c r="N353">
        <f t="shared" si="13"/>
        <v>2020</v>
      </c>
    </row>
    <row r="354" spans="1:14" x14ac:dyDescent="0.25">
      <c r="A354">
        <v>352</v>
      </c>
      <c r="B354" s="52">
        <v>43901</v>
      </c>
      <c r="C354" s="2">
        <v>8.74</v>
      </c>
      <c r="D354" t="s">
        <v>384</v>
      </c>
      <c r="E354" t="s">
        <v>28</v>
      </c>
      <c r="F354" t="s">
        <v>55</v>
      </c>
      <c r="H354" t="s">
        <v>29</v>
      </c>
      <c r="I354" t="s">
        <v>29</v>
      </c>
      <c r="J354" t="s">
        <v>46</v>
      </c>
      <c r="K354" s="13">
        <v>44206</v>
      </c>
      <c r="L354" t="s">
        <v>330</v>
      </c>
      <c r="M354" t="str">
        <f t="shared" si="12"/>
        <v>March</v>
      </c>
      <c r="N354">
        <f t="shared" si="13"/>
        <v>2020</v>
      </c>
    </row>
    <row r="355" spans="1:14" x14ac:dyDescent="0.25">
      <c r="A355">
        <v>353</v>
      </c>
      <c r="B355" s="52">
        <v>43901</v>
      </c>
      <c r="C355" s="2">
        <v>14.36</v>
      </c>
      <c r="D355" t="s">
        <v>385</v>
      </c>
      <c r="E355" t="s">
        <v>28</v>
      </c>
      <c r="F355" t="s">
        <v>50</v>
      </c>
      <c r="H355" t="s">
        <v>29</v>
      </c>
      <c r="I355" t="s">
        <v>29</v>
      </c>
      <c r="J355" t="s">
        <v>46</v>
      </c>
      <c r="K355" s="13">
        <v>44206</v>
      </c>
      <c r="L355" t="s">
        <v>330</v>
      </c>
      <c r="M355" t="str">
        <f t="shared" si="12"/>
        <v>March</v>
      </c>
      <c r="N355">
        <f t="shared" si="13"/>
        <v>2020</v>
      </c>
    </row>
    <row r="356" spans="1:14" x14ac:dyDescent="0.25">
      <c r="A356">
        <v>354</v>
      </c>
      <c r="B356" s="52">
        <v>43901</v>
      </c>
      <c r="C356" s="2">
        <v>4</v>
      </c>
      <c r="D356" t="s">
        <v>386</v>
      </c>
      <c r="E356" t="s">
        <v>28</v>
      </c>
      <c r="F356" t="s">
        <v>51</v>
      </c>
      <c r="H356" t="s">
        <v>29</v>
      </c>
      <c r="I356" t="s">
        <v>29</v>
      </c>
      <c r="J356" t="s">
        <v>46</v>
      </c>
      <c r="K356" s="13">
        <v>44206</v>
      </c>
      <c r="L356" t="s">
        <v>330</v>
      </c>
      <c r="M356" t="str">
        <f t="shared" si="12"/>
        <v>March</v>
      </c>
      <c r="N356">
        <f t="shared" si="13"/>
        <v>2020</v>
      </c>
    </row>
    <row r="357" spans="1:14" x14ac:dyDescent="0.25">
      <c r="A357">
        <v>355</v>
      </c>
      <c r="B357" s="52">
        <v>43901</v>
      </c>
      <c r="C357" s="2">
        <v>20.010000000000002</v>
      </c>
      <c r="D357" t="s">
        <v>386</v>
      </c>
      <c r="E357" t="s">
        <v>28</v>
      </c>
      <c r="F357" t="s">
        <v>51</v>
      </c>
      <c r="H357" t="s">
        <v>29</v>
      </c>
      <c r="I357" t="s">
        <v>29</v>
      </c>
      <c r="J357" t="s">
        <v>46</v>
      </c>
      <c r="K357" s="13">
        <v>44206</v>
      </c>
      <c r="L357" t="s">
        <v>330</v>
      </c>
      <c r="M357" t="str">
        <f t="shared" si="12"/>
        <v>March</v>
      </c>
      <c r="N357">
        <f t="shared" si="13"/>
        <v>2020</v>
      </c>
    </row>
    <row r="358" spans="1:14" x14ac:dyDescent="0.25">
      <c r="A358">
        <v>356</v>
      </c>
      <c r="B358" s="52">
        <v>43902</v>
      </c>
      <c r="C358" s="2">
        <v>21.67</v>
      </c>
      <c r="D358" t="s">
        <v>387</v>
      </c>
      <c r="E358" t="s">
        <v>28</v>
      </c>
      <c r="F358" t="s">
        <v>55</v>
      </c>
      <c r="H358" t="s">
        <v>29</v>
      </c>
      <c r="I358" t="s">
        <v>29</v>
      </c>
      <c r="J358" t="s">
        <v>46</v>
      </c>
      <c r="K358" s="13">
        <v>44206</v>
      </c>
      <c r="L358" t="s">
        <v>330</v>
      </c>
      <c r="M358" t="str">
        <f t="shared" si="12"/>
        <v>March</v>
      </c>
      <c r="N358">
        <f t="shared" si="13"/>
        <v>2020</v>
      </c>
    </row>
    <row r="359" spans="1:14" x14ac:dyDescent="0.25">
      <c r="A359">
        <v>357</v>
      </c>
      <c r="B359" s="52">
        <v>43902</v>
      </c>
      <c r="C359" s="2">
        <v>8.5399999999999991</v>
      </c>
      <c r="D359" t="s">
        <v>388</v>
      </c>
      <c r="E359" t="s">
        <v>28</v>
      </c>
      <c r="F359" t="s">
        <v>51</v>
      </c>
      <c r="H359" t="s">
        <v>29</v>
      </c>
      <c r="I359" t="s">
        <v>29</v>
      </c>
      <c r="J359" t="s">
        <v>46</v>
      </c>
      <c r="K359" s="13">
        <v>44206</v>
      </c>
      <c r="L359" t="s">
        <v>330</v>
      </c>
      <c r="M359" t="str">
        <f t="shared" si="12"/>
        <v>March</v>
      </c>
      <c r="N359">
        <f t="shared" si="13"/>
        <v>2020</v>
      </c>
    </row>
    <row r="360" spans="1:14" x14ac:dyDescent="0.25">
      <c r="A360">
        <v>358</v>
      </c>
      <c r="B360" s="52">
        <v>43904</v>
      </c>
      <c r="C360" s="2">
        <v>6.18</v>
      </c>
      <c r="D360" t="s">
        <v>386</v>
      </c>
      <c r="E360" t="s">
        <v>28</v>
      </c>
      <c r="F360" t="s">
        <v>51</v>
      </c>
      <c r="H360" t="s">
        <v>29</v>
      </c>
      <c r="I360" t="s">
        <v>29</v>
      </c>
      <c r="J360" t="s">
        <v>46</v>
      </c>
      <c r="K360" s="13">
        <v>44206</v>
      </c>
      <c r="L360" t="s">
        <v>330</v>
      </c>
      <c r="M360" t="str">
        <f t="shared" si="12"/>
        <v>March</v>
      </c>
      <c r="N360">
        <f t="shared" si="13"/>
        <v>2020</v>
      </c>
    </row>
    <row r="361" spans="1:14" x14ac:dyDescent="0.25">
      <c r="A361">
        <v>359</v>
      </c>
      <c r="B361" s="52">
        <v>43905</v>
      </c>
      <c r="C361" s="2">
        <v>25.97</v>
      </c>
      <c r="D361" t="s">
        <v>389</v>
      </c>
      <c r="E361" t="s">
        <v>28</v>
      </c>
      <c r="F361" t="s">
        <v>51</v>
      </c>
      <c r="H361" t="s">
        <v>29</v>
      </c>
      <c r="I361" t="s">
        <v>29</v>
      </c>
      <c r="J361" t="s">
        <v>46</v>
      </c>
      <c r="K361" s="13">
        <v>44206</v>
      </c>
      <c r="L361" t="s">
        <v>330</v>
      </c>
      <c r="M361" t="str">
        <f t="shared" si="12"/>
        <v>March</v>
      </c>
      <c r="N361">
        <f t="shared" si="13"/>
        <v>2020</v>
      </c>
    </row>
    <row r="362" spans="1:14" x14ac:dyDescent="0.25">
      <c r="A362">
        <v>360</v>
      </c>
      <c r="B362" s="52">
        <v>43905</v>
      </c>
      <c r="C362" s="2">
        <v>18.29</v>
      </c>
      <c r="D362" t="s">
        <v>386</v>
      </c>
      <c r="E362" t="s">
        <v>28</v>
      </c>
      <c r="F362" t="s">
        <v>51</v>
      </c>
      <c r="H362" t="s">
        <v>29</v>
      </c>
      <c r="I362" t="s">
        <v>29</v>
      </c>
      <c r="J362" t="s">
        <v>46</v>
      </c>
      <c r="K362" s="13">
        <v>44206</v>
      </c>
      <c r="L362" t="s">
        <v>330</v>
      </c>
      <c r="M362" t="str">
        <f t="shared" si="12"/>
        <v>March</v>
      </c>
      <c r="N362">
        <f t="shared" si="13"/>
        <v>2020</v>
      </c>
    </row>
    <row r="363" spans="1:14" x14ac:dyDescent="0.25">
      <c r="A363">
        <v>361</v>
      </c>
      <c r="B363" s="52">
        <v>43908</v>
      </c>
      <c r="C363" s="2">
        <v>275</v>
      </c>
      <c r="D363" t="s">
        <v>390</v>
      </c>
      <c r="E363" t="s">
        <v>28</v>
      </c>
      <c r="F363" t="s">
        <v>521</v>
      </c>
      <c r="H363" t="s">
        <v>29</v>
      </c>
      <c r="I363" t="s">
        <v>29</v>
      </c>
      <c r="J363" t="s">
        <v>46</v>
      </c>
      <c r="K363" s="13">
        <v>44206</v>
      </c>
      <c r="L363" t="s">
        <v>330</v>
      </c>
      <c r="M363" t="str">
        <f t="shared" si="12"/>
        <v>March</v>
      </c>
      <c r="N363">
        <f t="shared" si="13"/>
        <v>2020</v>
      </c>
    </row>
    <row r="364" spans="1:14" x14ac:dyDescent="0.25">
      <c r="A364">
        <v>362</v>
      </c>
      <c r="B364" s="52">
        <v>43913</v>
      </c>
      <c r="C364" s="2">
        <v>534.24</v>
      </c>
      <c r="D364" t="s">
        <v>391</v>
      </c>
      <c r="E364" t="s">
        <v>28</v>
      </c>
      <c r="F364" t="s">
        <v>522</v>
      </c>
      <c r="H364" t="s">
        <v>29</v>
      </c>
      <c r="I364" t="s">
        <v>29</v>
      </c>
      <c r="J364" t="s">
        <v>46</v>
      </c>
      <c r="K364" s="13">
        <v>44206</v>
      </c>
      <c r="L364" t="s">
        <v>330</v>
      </c>
      <c r="M364" t="str">
        <f t="shared" si="12"/>
        <v>March</v>
      </c>
      <c r="N364">
        <f t="shared" si="13"/>
        <v>2020</v>
      </c>
    </row>
    <row r="365" spans="1:14" x14ac:dyDescent="0.25">
      <c r="A365">
        <v>363</v>
      </c>
      <c r="B365" s="52">
        <v>43918</v>
      </c>
      <c r="C365" s="2">
        <v>4.33</v>
      </c>
      <c r="D365" t="s">
        <v>344</v>
      </c>
      <c r="E365" t="s">
        <v>28</v>
      </c>
      <c r="F365" t="s">
        <v>50</v>
      </c>
      <c r="H365" t="s">
        <v>29</v>
      </c>
      <c r="I365" t="s">
        <v>29</v>
      </c>
      <c r="J365" t="s">
        <v>46</v>
      </c>
      <c r="K365" s="13">
        <v>44206</v>
      </c>
      <c r="L365" t="s">
        <v>330</v>
      </c>
      <c r="M365" t="str">
        <f t="shared" si="12"/>
        <v>March</v>
      </c>
      <c r="N365">
        <f t="shared" si="13"/>
        <v>2020</v>
      </c>
    </row>
    <row r="366" spans="1:14" x14ac:dyDescent="0.25">
      <c r="A366">
        <v>364</v>
      </c>
      <c r="B366" s="52">
        <v>43918</v>
      </c>
      <c r="C366" s="2">
        <v>25.1</v>
      </c>
      <c r="D366" t="s">
        <v>344</v>
      </c>
      <c r="E366" t="s">
        <v>28</v>
      </c>
      <c r="F366" t="s">
        <v>50</v>
      </c>
      <c r="H366" t="s">
        <v>29</v>
      </c>
      <c r="I366" t="s">
        <v>29</v>
      </c>
      <c r="J366" t="s">
        <v>46</v>
      </c>
      <c r="K366" s="13">
        <v>44206</v>
      </c>
      <c r="L366" t="s">
        <v>330</v>
      </c>
      <c r="M366" t="str">
        <f t="shared" si="12"/>
        <v>March</v>
      </c>
      <c r="N366">
        <f t="shared" si="13"/>
        <v>2020</v>
      </c>
    </row>
    <row r="367" spans="1:14" x14ac:dyDescent="0.25">
      <c r="A367">
        <v>365</v>
      </c>
      <c r="B367" s="52">
        <v>43921</v>
      </c>
      <c r="C367" s="2">
        <v>39.99</v>
      </c>
      <c r="D367" t="s">
        <v>392</v>
      </c>
      <c r="E367" t="s">
        <v>28</v>
      </c>
      <c r="F367" t="s">
        <v>35</v>
      </c>
      <c r="H367" t="s">
        <v>29</v>
      </c>
      <c r="I367" t="s">
        <v>29</v>
      </c>
      <c r="J367" t="s">
        <v>46</v>
      </c>
      <c r="K367" s="13">
        <v>44206</v>
      </c>
      <c r="L367" t="s">
        <v>330</v>
      </c>
      <c r="M367" t="str">
        <f t="shared" si="12"/>
        <v>March</v>
      </c>
      <c r="N367">
        <f t="shared" si="13"/>
        <v>2020</v>
      </c>
    </row>
    <row r="368" spans="1:14" x14ac:dyDescent="0.25">
      <c r="A368">
        <v>366</v>
      </c>
      <c r="B368" s="52">
        <v>43921</v>
      </c>
      <c r="C368" s="2">
        <v>35.950000000000003</v>
      </c>
      <c r="D368" t="s">
        <v>393</v>
      </c>
      <c r="E368" t="s">
        <v>28</v>
      </c>
      <c r="F368" t="s">
        <v>522</v>
      </c>
      <c r="H368" t="s">
        <v>29</v>
      </c>
      <c r="I368" t="s">
        <v>29</v>
      </c>
      <c r="J368" t="s">
        <v>46</v>
      </c>
      <c r="K368" s="13">
        <v>44206</v>
      </c>
      <c r="L368" t="s">
        <v>330</v>
      </c>
      <c r="M368" t="str">
        <f t="shared" si="12"/>
        <v>March</v>
      </c>
      <c r="N368">
        <f t="shared" si="13"/>
        <v>2020</v>
      </c>
    </row>
    <row r="369" spans="1:14" x14ac:dyDescent="0.25">
      <c r="A369">
        <v>367</v>
      </c>
      <c r="B369" s="52">
        <v>43944</v>
      </c>
      <c r="C369" s="2">
        <v>27.3</v>
      </c>
      <c r="D369" t="s">
        <v>394</v>
      </c>
      <c r="E369" t="s">
        <v>28</v>
      </c>
      <c r="F369" t="s">
        <v>53</v>
      </c>
      <c r="H369" t="s">
        <v>29</v>
      </c>
      <c r="I369" t="s">
        <v>29</v>
      </c>
      <c r="J369" t="s">
        <v>46</v>
      </c>
      <c r="K369" s="13">
        <v>44206</v>
      </c>
      <c r="L369" t="s">
        <v>330</v>
      </c>
      <c r="M369" t="str">
        <f t="shared" si="12"/>
        <v>April</v>
      </c>
      <c r="N369">
        <f t="shared" si="13"/>
        <v>2020</v>
      </c>
    </row>
    <row r="370" spans="1:14" x14ac:dyDescent="0.25">
      <c r="A370">
        <v>368</v>
      </c>
      <c r="B370" s="52">
        <v>43952</v>
      </c>
      <c r="C370" s="2">
        <v>88.71</v>
      </c>
      <c r="D370" t="s">
        <v>334</v>
      </c>
      <c r="E370" t="s">
        <v>28</v>
      </c>
      <c r="F370" t="s">
        <v>522</v>
      </c>
      <c r="H370" t="s">
        <v>29</v>
      </c>
      <c r="I370" t="s">
        <v>29</v>
      </c>
      <c r="J370" t="s">
        <v>46</v>
      </c>
      <c r="K370" s="13">
        <v>44206</v>
      </c>
      <c r="L370" t="s">
        <v>330</v>
      </c>
      <c r="M370" t="str">
        <f t="shared" si="12"/>
        <v>May</v>
      </c>
      <c r="N370">
        <f t="shared" si="13"/>
        <v>2020</v>
      </c>
    </row>
    <row r="371" spans="1:14" x14ac:dyDescent="0.25">
      <c r="A371">
        <v>369</v>
      </c>
      <c r="B371" s="52">
        <v>43953</v>
      </c>
      <c r="C371" s="2">
        <v>26.46</v>
      </c>
      <c r="D371" t="s">
        <v>395</v>
      </c>
      <c r="E371" t="s">
        <v>28</v>
      </c>
      <c r="F371" t="s">
        <v>522</v>
      </c>
      <c r="H371" t="s">
        <v>29</v>
      </c>
      <c r="I371" t="s">
        <v>29</v>
      </c>
      <c r="J371" t="s">
        <v>46</v>
      </c>
      <c r="K371" s="13">
        <v>44206</v>
      </c>
      <c r="L371" t="s">
        <v>330</v>
      </c>
      <c r="M371" t="str">
        <f t="shared" si="12"/>
        <v>May</v>
      </c>
      <c r="N371">
        <f t="shared" si="13"/>
        <v>2020</v>
      </c>
    </row>
    <row r="372" spans="1:14" x14ac:dyDescent="0.25">
      <c r="A372">
        <v>370</v>
      </c>
      <c r="B372" s="52">
        <v>43956</v>
      </c>
      <c r="C372" s="2">
        <v>66.75</v>
      </c>
      <c r="D372" t="s">
        <v>396</v>
      </c>
      <c r="E372" t="s">
        <v>28</v>
      </c>
      <c r="F372" t="s">
        <v>33</v>
      </c>
      <c r="H372" t="s">
        <v>29</v>
      </c>
      <c r="I372" t="s">
        <v>29</v>
      </c>
      <c r="J372" t="s">
        <v>46</v>
      </c>
      <c r="K372" s="13">
        <v>44206</v>
      </c>
      <c r="L372" t="s">
        <v>330</v>
      </c>
      <c r="M372" t="str">
        <f t="shared" si="12"/>
        <v>May</v>
      </c>
      <c r="N372">
        <f t="shared" si="13"/>
        <v>2020</v>
      </c>
    </row>
    <row r="373" spans="1:14" x14ac:dyDescent="0.25">
      <c r="A373">
        <v>371</v>
      </c>
      <c r="B373" s="52">
        <v>43959</v>
      </c>
      <c r="C373" s="2">
        <v>13.99</v>
      </c>
      <c r="D373" t="s">
        <v>397</v>
      </c>
      <c r="E373" t="s">
        <v>28</v>
      </c>
      <c r="F373" t="s">
        <v>55</v>
      </c>
      <c r="H373" t="s">
        <v>29</v>
      </c>
      <c r="I373" t="s">
        <v>29</v>
      </c>
      <c r="J373" t="s">
        <v>46</v>
      </c>
      <c r="K373" s="13">
        <v>44206</v>
      </c>
      <c r="L373" t="s">
        <v>330</v>
      </c>
      <c r="M373" t="str">
        <f t="shared" si="12"/>
        <v>May</v>
      </c>
      <c r="N373">
        <f t="shared" si="13"/>
        <v>2020</v>
      </c>
    </row>
    <row r="374" spans="1:14" x14ac:dyDescent="0.25">
      <c r="A374">
        <v>372</v>
      </c>
      <c r="B374" s="52">
        <v>43962</v>
      </c>
      <c r="C374" s="2">
        <v>27.63</v>
      </c>
      <c r="D374" t="s">
        <v>398</v>
      </c>
      <c r="E374" t="s">
        <v>28</v>
      </c>
      <c r="F374" t="s">
        <v>53</v>
      </c>
      <c r="H374" t="s">
        <v>29</v>
      </c>
      <c r="I374" t="s">
        <v>29</v>
      </c>
      <c r="J374" t="s">
        <v>46</v>
      </c>
      <c r="K374" s="13">
        <v>44206</v>
      </c>
      <c r="L374" t="s">
        <v>330</v>
      </c>
      <c r="M374" t="str">
        <f t="shared" si="12"/>
        <v>May</v>
      </c>
      <c r="N374">
        <f t="shared" si="13"/>
        <v>2020</v>
      </c>
    </row>
    <row r="375" spans="1:14" x14ac:dyDescent="0.25">
      <c r="A375">
        <v>373</v>
      </c>
      <c r="B375" s="52">
        <v>43966</v>
      </c>
      <c r="C375" s="2">
        <v>52.02</v>
      </c>
      <c r="D375" t="s">
        <v>399</v>
      </c>
      <c r="E375" t="s">
        <v>28</v>
      </c>
      <c r="F375" t="s">
        <v>54</v>
      </c>
      <c r="H375" t="s">
        <v>29</v>
      </c>
      <c r="I375" t="s">
        <v>29</v>
      </c>
      <c r="J375" t="s">
        <v>46</v>
      </c>
      <c r="K375" s="13">
        <v>44206</v>
      </c>
      <c r="L375" t="s">
        <v>330</v>
      </c>
      <c r="M375" t="str">
        <f t="shared" si="12"/>
        <v>May</v>
      </c>
      <c r="N375">
        <f t="shared" si="13"/>
        <v>2020</v>
      </c>
    </row>
    <row r="376" spans="1:14" x14ac:dyDescent="0.25">
      <c r="A376">
        <v>374</v>
      </c>
      <c r="B376" s="52">
        <v>43970</v>
      </c>
      <c r="C376" s="2">
        <v>122.3</v>
      </c>
      <c r="D376" t="s">
        <v>400</v>
      </c>
      <c r="E376" t="s">
        <v>28</v>
      </c>
      <c r="F376" t="s">
        <v>54</v>
      </c>
      <c r="H376" t="s">
        <v>29</v>
      </c>
      <c r="I376" t="s">
        <v>29</v>
      </c>
      <c r="J376" t="s">
        <v>46</v>
      </c>
      <c r="K376" s="13">
        <v>44206</v>
      </c>
      <c r="L376" t="s">
        <v>330</v>
      </c>
      <c r="M376" t="str">
        <f t="shared" si="12"/>
        <v>May</v>
      </c>
      <c r="N376">
        <f t="shared" si="13"/>
        <v>2020</v>
      </c>
    </row>
    <row r="377" spans="1:14" x14ac:dyDescent="0.25">
      <c r="A377">
        <v>375</v>
      </c>
      <c r="B377" s="52">
        <v>43975</v>
      </c>
      <c r="C377" s="2">
        <v>15.33</v>
      </c>
      <c r="D377" t="s">
        <v>334</v>
      </c>
      <c r="E377" t="s">
        <v>28</v>
      </c>
      <c r="F377" t="s">
        <v>522</v>
      </c>
      <c r="H377" t="s">
        <v>29</v>
      </c>
      <c r="I377" t="s">
        <v>29</v>
      </c>
      <c r="J377" t="s">
        <v>46</v>
      </c>
      <c r="K377" s="13">
        <v>44206</v>
      </c>
      <c r="L377" t="s">
        <v>330</v>
      </c>
      <c r="M377" t="str">
        <f t="shared" si="12"/>
        <v>May</v>
      </c>
      <c r="N377">
        <f t="shared" si="13"/>
        <v>2020</v>
      </c>
    </row>
    <row r="378" spans="1:14" x14ac:dyDescent="0.25">
      <c r="A378">
        <v>376</v>
      </c>
      <c r="B378" s="52">
        <v>43975</v>
      </c>
      <c r="C378" s="2">
        <v>119.55</v>
      </c>
      <c r="D378" t="s">
        <v>401</v>
      </c>
      <c r="E378" t="s">
        <v>28</v>
      </c>
      <c r="F378" t="s">
        <v>522</v>
      </c>
      <c r="H378" t="s">
        <v>29</v>
      </c>
      <c r="I378" t="s">
        <v>29</v>
      </c>
      <c r="J378" t="s">
        <v>46</v>
      </c>
      <c r="K378" s="13">
        <v>44206</v>
      </c>
      <c r="L378" t="s">
        <v>330</v>
      </c>
      <c r="M378" t="str">
        <f t="shared" si="12"/>
        <v>May</v>
      </c>
      <c r="N378">
        <f t="shared" si="13"/>
        <v>2020</v>
      </c>
    </row>
    <row r="379" spans="1:14" x14ac:dyDescent="0.25">
      <c r="A379">
        <v>377</v>
      </c>
      <c r="B379" s="52">
        <v>43976</v>
      </c>
      <c r="C379" s="2">
        <v>4.76</v>
      </c>
      <c r="D379" t="s">
        <v>402</v>
      </c>
      <c r="E379" t="s">
        <v>28</v>
      </c>
      <c r="F379" t="s">
        <v>55</v>
      </c>
      <c r="H379" t="s">
        <v>29</v>
      </c>
      <c r="I379" t="s">
        <v>29</v>
      </c>
      <c r="J379" t="s">
        <v>46</v>
      </c>
      <c r="K379" s="13">
        <v>44206</v>
      </c>
      <c r="L379" t="s">
        <v>330</v>
      </c>
      <c r="M379" t="str">
        <f t="shared" si="12"/>
        <v>May</v>
      </c>
      <c r="N379">
        <f t="shared" si="13"/>
        <v>2020</v>
      </c>
    </row>
    <row r="380" spans="1:14" x14ac:dyDescent="0.25">
      <c r="A380">
        <v>378</v>
      </c>
      <c r="B380" s="52">
        <v>43979</v>
      </c>
      <c r="C380" s="2">
        <v>52.99</v>
      </c>
      <c r="D380" t="s">
        <v>403</v>
      </c>
      <c r="E380" t="s">
        <v>28</v>
      </c>
      <c r="F380" t="s">
        <v>54</v>
      </c>
      <c r="H380" t="s">
        <v>29</v>
      </c>
      <c r="I380" t="s">
        <v>29</v>
      </c>
      <c r="J380" t="s">
        <v>46</v>
      </c>
      <c r="K380" s="13">
        <v>44206</v>
      </c>
      <c r="L380" t="s">
        <v>330</v>
      </c>
      <c r="M380" t="str">
        <f t="shared" si="12"/>
        <v>May</v>
      </c>
      <c r="N380">
        <f t="shared" si="13"/>
        <v>2020</v>
      </c>
    </row>
    <row r="381" spans="1:14" x14ac:dyDescent="0.25">
      <c r="A381">
        <v>379</v>
      </c>
      <c r="B381" s="52">
        <v>43979</v>
      </c>
      <c r="C381" s="2">
        <v>121.88</v>
      </c>
      <c r="D381" t="s">
        <v>355</v>
      </c>
      <c r="E381" t="s">
        <v>28</v>
      </c>
      <c r="F381" t="s">
        <v>519</v>
      </c>
      <c r="H381" t="s">
        <v>29</v>
      </c>
      <c r="I381" t="s">
        <v>29</v>
      </c>
      <c r="J381" t="s">
        <v>46</v>
      </c>
      <c r="K381" s="13">
        <v>44206</v>
      </c>
      <c r="L381" t="s">
        <v>330</v>
      </c>
      <c r="M381" t="str">
        <f t="shared" si="12"/>
        <v>May</v>
      </c>
      <c r="N381">
        <f t="shared" si="13"/>
        <v>2020</v>
      </c>
    </row>
    <row r="382" spans="1:14" x14ac:dyDescent="0.25">
      <c r="A382">
        <v>380</v>
      </c>
      <c r="B382" s="52">
        <v>43983</v>
      </c>
      <c r="C382" s="2">
        <v>11</v>
      </c>
      <c r="D382" t="s">
        <v>404</v>
      </c>
      <c r="E382" t="s">
        <v>28</v>
      </c>
      <c r="F382" t="s">
        <v>56</v>
      </c>
      <c r="H382" t="s">
        <v>29</v>
      </c>
      <c r="I382" t="s">
        <v>29</v>
      </c>
      <c r="J382" t="s">
        <v>46</v>
      </c>
      <c r="K382" s="13">
        <v>44206</v>
      </c>
      <c r="L382" t="s">
        <v>330</v>
      </c>
      <c r="M382" t="str">
        <f t="shared" si="12"/>
        <v>June</v>
      </c>
      <c r="N382">
        <f t="shared" si="13"/>
        <v>2020</v>
      </c>
    </row>
    <row r="383" spans="1:14" x14ac:dyDescent="0.25">
      <c r="A383">
        <v>381</v>
      </c>
      <c r="B383" s="52">
        <v>43983</v>
      </c>
      <c r="C383" s="2">
        <v>6.36</v>
      </c>
      <c r="D383" t="s">
        <v>405</v>
      </c>
      <c r="E383" t="s">
        <v>28</v>
      </c>
      <c r="F383" t="s">
        <v>55</v>
      </c>
      <c r="H383" t="s">
        <v>29</v>
      </c>
      <c r="I383" t="s">
        <v>29</v>
      </c>
      <c r="J383" t="s">
        <v>46</v>
      </c>
      <c r="K383" s="13">
        <v>44206</v>
      </c>
      <c r="L383" t="s">
        <v>330</v>
      </c>
      <c r="M383" t="str">
        <f t="shared" si="12"/>
        <v>June</v>
      </c>
      <c r="N383">
        <f t="shared" si="13"/>
        <v>2020</v>
      </c>
    </row>
    <row r="384" spans="1:14" x14ac:dyDescent="0.25">
      <c r="A384">
        <v>382</v>
      </c>
      <c r="B384" s="52">
        <v>43984</v>
      </c>
      <c r="C384" s="2">
        <v>2.71</v>
      </c>
      <c r="D384" t="s">
        <v>344</v>
      </c>
      <c r="E384" t="s">
        <v>28</v>
      </c>
      <c r="F384" t="s">
        <v>50</v>
      </c>
      <c r="H384" t="s">
        <v>29</v>
      </c>
      <c r="I384" t="s">
        <v>29</v>
      </c>
      <c r="J384" t="s">
        <v>46</v>
      </c>
      <c r="K384" s="13">
        <v>44206</v>
      </c>
      <c r="L384" t="s">
        <v>330</v>
      </c>
      <c r="M384" t="str">
        <f t="shared" si="12"/>
        <v>June</v>
      </c>
      <c r="N384">
        <f t="shared" si="13"/>
        <v>2020</v>
      </c>
    </row>
    <row r="385" spans="1:14" x14ac:dyDescent="0.25">
      <c r="A385">
        <v>383</v>
      </c>
      <c r="B385" s="52">
        <v>43984</v>
      </c>
      <c r="C385" s="2">
        <v>13.09</v>
      </c>
      <c r="D385" t="s">
        <v>344</v>
      </c>
      <c r="E385" t="s">
        <v>28</v>
      </c>
      <c r="F385" t="s">
        <v>50</v>
      </c>
      <c r="H385" t="s">
        <v>29</v>
      </c>
      <c r="I385" t="s">
        <v>29</v>
      </c>
      <c r="J385" t="s">
        <v>46</v>
      </c>
      <c r="K385" s="13">
        <v>44206</v>
      </c>
      <c r="L385" t="s">
        <v>330</v>
      </c>
      <c r="M385" t="str">
        <f t="shared" si="12"/>
        <v>June</v>
      </c>
      <c r="N385">
        <f t="shared" si="13"/>
        <v>2020</v>
      </c>
    </row>
    <row r="386" spans="1:14" x14ac:dyDescent="0.25">
      <c r="A386">
        <v>384</v>
      </c>
      <c r="B386" s="52">
        <v>43989</v>
      </c>
      <c r="C386" s="2">
        <v>5.82</v>
      </c>
      <c r="D386" t="s">
        <v>406</v>
      </c>
      <c r="E386" t="s">
        <v>28</v>
      </c>
      <c r="F386" t="s">
        <v>50</v>
      </c>
      <c r="H386" t="s">
        <v>29</v>
      </c>
      <c r="I386" t="s">
        <v>29</v>
      </c>
      <c r="J386" t="s">
        <v>46</v>
      </c>
      <c r="K386" s="13">
        <v>44206</v>
      </c>
      <c r="L386" t="s">
        <v>330</v>
      </c>
      <c r="M386" t="str">
        <f t="shared" si="12"/>
        <v>June</v>
      </c>
      <c r="N386">
        <f t="shared" si="13"/>
        <v>2020</v>
      </c>
    </row>
    <row r="387" spans="1:14" x14ac:dyDescent="0.25">
      <c r="A387">
        <v>385</v>
      </c>
      <c r="B387" s="52">
        <v>43991</v>
      </c>
      <c r="C387" s="2">
        <v>8.89</v>
      </c>
      <c r="D387" t="s">
        <v>407</v>
      </c>
      <c r="E387" t="s">
        <v>28</v>
      </c>
      <c r="F387" t="s">
        <v>50</v>
      </c>
      <c r="H387" t="s">
        <v>29</v>
      </c>
      <c r="I387" t="s">
        <v>29</v>
      </c>
      <c r="J387" t="s">
        <v>46</v>
      </c>
      <c r="K387" s="13">
        <v>44206</v>
      </c>
      <c r="L387" t="s">
        <v>330</v>
      </c>
      <c r="M387" t="str">
        <f t="shared" ref="M387:M450" si="14">TEXT(B387,"mmmm")</f>
        <v>June</v>
      </c>
      <c r="N387">
        <f t="shared" ref="N387:N450" si="15">YEAR(B387)</f>
        <v>2020</v>
      </c>
    </row>
    <row r="388" spans="1:14" x14ac:dyDescent="0.25">
      <c r="A388">
        <v>386</v>
      </c>
      <c r="B388" s="52">
        <v>43992</v>
      </c>
      <c r="C388" s="2">
        <v>35</v>
      </c>
      <c r="D388" t="s">
        <v>408</v>
      </c>
      <c r="E388" t="s">
        <v>28</v>
      </c>
      <c r="F388" t="s">
        <v>55</v>
      </c>
      <c r="H388" t="s">
        <v>29</v>
      </c>
      <c r="I388" t="s">
        <v>29</v>
      </c>
      <c r="J388" t="s">
        <v>46</v>
      </c>
      <c r="K388" s="13">
        <v>44206</v>
      </c>
      <c r="L388" t="s">
        <v>330</v>
      </c>
      <c r="M388" t="str">
        <f t="shared" si="14"/>
        <v>June</v>
      </c>
      <c r="N388">
        <f t="shared" si="15"/>
        <v>2020</v>
      </c>
    </row>
    <row r="389" spans="1:14" x14ac:dyDescent="0.25">
      <c r="A389">
        <v>387</v>
      </c>
      <c r="B389" s="52">
        <v>43994</v>
      </c>
      <c r="C389" s="2">
        <v>66.760000000000005</v>
      </c>
      <c r="D389" t="s">
        <v>396</v>
      </c>
      <c r="E389" t="s">
        <v>28</v>
      </c>
      <c r="F389" t="s">
        <v>33</v>
      </c>
      <c r="H389" t="s">
        <v>29</v>
      </c>
      <c r="I389" t="s">
        <v>29</v>
      </c>
      <c r="J389" t="s">
        <v>46</v>
      </c>
      <c r="K389" s="13">
        <v>44206</v>
      </c>
      <c r="L389" t="s">
        <v>330</v>
      </c>
      <c r="M389" t="str">
        <f t="shared" si="14"/>
        <v>June</v>
      </c>
      <c r="N389">
        <f t="shared" si="15"/>
        <v>2020</v>
      </c>
    </row>
    <row r="390" spans="1:14" x14ac:dyDescent="0.25">
      <c r="A390">
        <v>388</v>
      </c>
      <c r="B390" s="52">
        <v>43995</v>
      </c>
      <c r="C390" s="2">
        <v>12.72</v>
      </c>
      <c r="D390" t="s">
        <v>409</v>
      </c>
      <c r="E390" t="s">
        <v>28</v>
      </c>
      <c r="F390" t="s">
        <v>50</v>
      </c>
      <c r="H390" t="s">
        <v>29</v>
      </c>
      <c r="I390" t="s">
        <v>29</v>
      </c>
      <c r="J390" t="s">
        <v>46</v>
      </c>
      <c r="K390" s="13">
        <v>44206</v>
      </c>
      <c r="L390" t="s">
        <v>330</v>
      </c>
      <c r="M390" t="str">
        <f t="shared" si="14"/>
        <v>June</v>
      </c>
      <c r="N390">
        <f t="shared" si="15"/>
        <v>2020</v>
      </c>
    </row>
    <row r="391" spans="1:14" x14ac:dyDescent="0.25">
      <c r="A391">
        <v>389</v>
      </c>
      <c r="B391" s="52">
        <v>43995</v>
      </c>
      <c r="C391" s="2">
        <v>9.4</v>
      </c>
      <c r="D391" t="s">
        <v>410</v>
      </c>
      <c r="E391" t="s">
        <v>28</v>
      </c>
      <c r="F391" t="s">
        <v>50</v>
      </c>
      <c r="G391" t="s">
        <v>514</v>
      </c>
      <c r="H391" t="s">
        <v>29</v>
      </c>
      <c r="I391" t="s">
        <v>29</v>
      </c>
      <c r="J391" t="s">
        <v>46</v>
      </c>
      <c r="K391" s="13">
        <v>44206</v>
      </c>
      <c r="L391" t="s">
        <v>330</v>
      </c>
      <c r="M391" t="str">
        <f t="shared" si="14"/>
        <v>June</v>
      </c>
      <c r="N391">
        <f t="shared" si="15"/>
        <v>2020</v>
      </c>
    </row>
    <row r="392" spans="1:14" x14ac:dyDescent="0.25">
      <c r="A392">
        <v>390</v>
      </c>
      <c r="B392" s="52">
        <v>43995</v>
      </c>
      <c r="C392" s="2">
        <v>11.52</v>
      </c>
      <c r="D392" t="s">
        <v>410</v>
      </c>
      <c r="E392" t="s">
        <v>28</v>
      </c>
      <c r="F392" t="s">
        <v>50</v>
      </c>
      <c r="G392" t="s">
        <v>514</v>
      </c>
      <c r="H392" t="s">
        <v>29</v>
      </c>
      <c r="I392" t="s">
        <v>29</v>
      </c>
      <c r="J392" t="s">
        <v>46</v>
      </c>
      <c r="K392" s="13">
        <v>44206</v>
      </c>
      <c r="L392" t="s">
        <v>330</v>
      </c>
      <c r="M392" t="str">
        <f t="shared" si="14"/>
        <v>June</v>
      </c>
      <c r="N392">
        <f t="shared" si="15"/>
        <v>2020</v>
      </c>
    </row>
    <row r="393" spans="1:14" x14ac:dyDescent="0.25">
      <c r="A393">
        <v>391</v>
      </c>
      <c r="B393" s="52">
        <v>43997</v>
      </c>
      <c r="C393" s="2">
        <v>22.39</v>
      </c>
      <c r="D393" t="s">
        <v>411</v>
      </c>
      <c r="E393" t="s">
        <v>28</v>
      </c>
      <c r="F393" t="s">
        <v>50</v>
      </c>
      <c r="H393" t="s">
        <v>29</v>
      </c>
      <c r="I393" t="s">
        <v>29</v>
      </c>
      <c r="J393" t="s">
        <v>46</v>
      </c>
      <c r="K393" s="13">
        <v>44206</v>
      </c>
      <c r="L393" t="s">
        <v>330</v>
      </c>
      <c r="M393" t="str">
        <f t="shared" si="14"/>
        <v>June</v>
      </c>
      <c r="N393">
        <f t="shared" si="15"/>
        <v>2020</v>
      </c>
    </row>
    <row r="394" spans="1:14" x14ac:dyDescent="0.25">
      <c r="A394">
        <v>392</v>
      </c>
      <c r="B394" s="52">
        <v>43999</v>
      </c>
      <c r="C394" s="2">
        <v>455.82</v>
      </c>
      <c r="D394" t="s">
        <v>400</v>
      </c>
      <c r="E394" t="s">
        <v>28</v>
      </c>
      <c r="F394" t="s">
        <v>54</v>
      </c>
      <c r="H394" t="s">
        <v>29</v>
      </c>
      <c r="I394" t="s">
        <v>29</v>
      </c>
      <c r="J394" t="s">
        <v>46</v>
      </c>
      <c r="K394" s="13">
        <v>44206</v>
      </c>
      <c r="L394" t="s">
        <v>330</v>
      </c>
      <c r="M394" t="str">
        <f t="shared" si="14"/>
        <v>June</v>
      </c>
      <c r="N394">
        <f t="shared" si="15"/>
        <v>2020</v>
      </c>
    </row>
    <row r="395" spans="1:14" x14ac:dyDescent="0.25">
      <c r="A395">
        <v>393</v>
      </c>
      <c r="B395" s="52">
        <v>43999</v>
      </c>
      <c r="C395" s="2">
        <v>30.67</v>
      </c>
      <c r="D395" t="s">
        <v>403</v>
      </c>
      <c r="E395" t="s">
        <v>28</v>
      </c>
      <c r="F395" t="s">
        <v>54</v>
      </c>
      <c r="H395" t="s">
        <v>29</v>
      </c>
      <c r="I395" t="s">
        <v>29</v>
      </c>
      <c r="J395" t="s">
        <v>46</v>
      </c>
      <c r="K395" s="13">
        <v>44206</v>
      </c>
      <c r="L395" t="s">
        <v>330</v>
      </c>
      <c r="M395" t="str">
        <f t="shared" si="14"/>
        <v>June</v>
      </c>
      <c r="N395">
        <f t="shared" si="15"/>
        <v>2020</v>
      </c>
    </row>
    <row r="396" spans="1:14" x14ac:dyDescent="0.25">
      <c r="A396">
        <v>394</v>
      </c>
      <c r="B396" s="52">
        <v>44000</v>
      </c>
      <c r="C396" s="2">
        <v>19.97</v>
      </c>
      <c r="D396" t="s">
        <v>334</v>
      </c>
      <c r="E396" t="s">
        <v>28</v>
      </c>
      <c r="F396" t="s">
        <v>522</v>
      </c>
      <c r="H396" t="s">
        <v>29</v>
      </c>
      <c r="I396" t="s">
        <v>29</v>
      </c>
      <c r="J396" t="s">
        <v>46</v>
      </c>
      <c r="K396" s="13">
        <v>44206</v>
      </c>
      <c r="L396" t="s">
        <v>330</v>
      </c>
      <c r="M396" t="str">
        <f t="shared" si="14"/>
        <v>June</v>
      </c>
      <c r="N396">
        <f t="shared" si="15"/>
        <v>2020</v>
      </c>
    </row>
    <row r="397" spans="1:14" x14ac:dyDescent="0.25">
      <c r="A397">
        <v>395</v>
      </c>
      <c r="B397" s="52">
        <v>44001</v>
      </c>
      <c r="C397" s="2">
        <v>700</v>
      </c>
      <c r="D397" t="s">
        <v>412</v>
      </c>
      <c r="E397" t="s">
        <v>28</v>
      </c>
      <c r="F397" t="s">
        <v>54</v>
      </c>
      <c r="H397" t="s">
        <v>29</v>
      </c>
      <c r="I397" t="s">
        <v>29</v>
      </c>
      <c r="J397" t="s">
        <v>46</v>
      </c>
      <c r="K397" s="13">
        <v>44206</v>
      </c>
      <c r="L397" t="s">
        <v>330</v>
      </c>
      <c r="M397" t="str">
        <f t="shared" si="14"/>
        <v>June</v>
      </c>
      <c r="N397">
        <f t="shared" si="15"/>
        <v>2020</v>
      </c>
    </row>
    <row r="398" spans="1:14" x14ac:dyDescent="0.25">
      <c r="A398">
        <v>396</v>
      </c>
      <c r="B398" s="52">
        <v>44006</v>
      </c>
      <c r="C398" s="2">
        <v>68.53</v>
      </c>
      <c r="D398" t="s">
        <v>413</v>
      </c>
      <c r="E398" t="s">
        <v>28</v>
      </c>
      <c r="F398" t="s">
        <v>55</v>
      </c>
      <c r="H398" t="s">
        <v>29</v>
      </c>
      <c r="I398" t="s">
        <v>29</v>
      </c>
      <c r="J398" t="s">
        <v>46</v>
      </c>
      <c r="K398" s="13">
        <v>44206</v>
      </c>
      <c r="L398" t="s">
        <v>330</v>
      </c>
      <c r="M398" t="str">
        <f t="shared" si="14"/>
        <v>June</v>
      </c>
      <c r="N398">
        <f t="shared" si="15"/>
        <v>2020</v>
      </c>
    </row>
    <row r="399" spans="1:14" x14ac:dyDescent="0.25">
      <c r="A399">
        <v>397</v>
      </c>
      <c r="B399" s="52">
        <v>44008</v>
      </c>
      <c r="C399" s="2">
        <v>39.11</v>
      </c>
      <c r="D399" t="s">
        <v>413</v>
      </c>
      <c r="E399" t="s">
        <v>28</v>
      </c>
      <c r="F399" t="s">
        <v>55</v>
      </c>
      <c r="H399" t="s">
        <v>29</v>
      </c>
      <c r="I399" t="s">
        <v>29</v>
      </c>
      <c r="J399" t="s">
        <v>46</v>
      </c>
      <c r="K399" s="13">
        <v>44206</v>
      </c>
      <c r="L399" t="s">
        <v>330</v>
      </c>
      <c r="M399" t="str">
        <f t="shared" si="14"/>
        <v>June</v>
      </c>
      <c r="N399">
        <f t="shared" si="15"/>
        <v>2020</v>
      </c>
    </row>
    <row r="400" spans="1:14" x14ac:dyDescent="0.25">
      <c r="A400">
        <v>398</v>
      </c>
      <c r="B400" s="52">
        <v>44011</v>
      </c>
      <c r="C400" s="2">
        <v>39.11</v>
      </c>
      <c r="D400" t="s">
        <v>413</v>
      </c>
      <c r="E400" t="s">
        <v>28</v>
      </c>
      <c r="F400" t="s">
        <v>55</v>
      </c>
      <c r="H400" t="s">
        <v>29</v>
      </c>
      <c r="I400" t="s">
        <v>29</v>
      </c>
      <c r="J400" t="s">
        <v>46</v>
      </c>
      <c r="K400" s="13">
        <v>44206</v>
      </c>
      <c r="L400" t="s">
        <v>330</v>
      </c>
      <c r="M400" t="str">
        <f t="shared" si="14"/>
        <v>June</v>
      </c>
      <c r="N400">
        <f t="shared" si="15"/>
        <v>2020</v>
      </c>
    </row>
    <row r="401" spans="1:14" x14ac:dyDescent="0.25">
      <c r="A401">
        <v>399</v>
      </c>
      <c r="B401" s="52">
        <v>44012</v>
      </c>
      <c r="C401" s="2">
        <v>39.11</v>
      </c>
      <c r="D401" t="s">
        <v>413</v>
      </c>
      <c r="E401" t="s">
        <v>28</v>
      </c>
      <c r="F401" t="s">
        <v>55</v>
      </c>
      <c r="H401" t="s">
        <v>29</v>
      </c>
      <c r="I401" t="s">
        <v>29</v>
      </c>
      <c r="J401" t="s">
        <v>46</v>
      </c>
      <c r="K401" s="13">
        <v>44206</v>
      </c>
      <c r="L401" t="s">
        <v>330</v>
      </c>
      <c r="M401" t="str">
        <f t="shared" si="14"/>
        <v>June</v>
      </c>
      <c r="N401">
        <f t="shared" si="15"/>
        <v>2020</v>
      </c>
    </row>
    <row r="402" spans="1:14" x14ac:dyDescent="0.25">
      <c r="A402">
        <v>400</v>
      </c>
      <c r="B402" s="52">
        <v>44014</v>
      </c>
      <c r="C402" s="2">
        <v>197.2</v>
      </c>
      <c r="D402" t="s">
        <v>414</v>
      </c>
      <c r="E402" t="s">
        <v>28</v>
      </c>
      <c r="F402" t="s">
        <v>54</v>
      </c>
      <c r="H402" t="s">
        <v>29</v>
      </c>
      <c r="I402" t="s">
        <v>29</v>
      </c>
      <c r="J402" t="s">
        <v>46</v>
      </c>
      <c r="K402" s="13">
        <v>44206</v>
      </c>
      <c r="L402" t="s">
        <v>330</v>
      </c>
      <c r="M402" t="str">
        <f t="shared" si="14"/>
        <v>July</v>
      </c>
      <c r="N402">
        <f t="shared" si="15"/>
        <v>2020</v>
      </c>
    </row>
    <row r="403" spans="1:14" x14ac:dyDescent="0.25">
      <c r="A403">
        <v>401</v>
      </c>
      <c r="B403" s="52">
        <v>44015</v>
      </c>
      <c r="C403" s="2">
        <v>39.11</v>
      </c>
      <c r="D403" t="s">
        <v>413</v>
      </c>
      <c r="E403" t="s">
        <v>28</v>
      </c>
      <c r="F403" t="s">
        <v>55</v>
      </c>
      <c r="H403" t="s">
        <v>29</v>
      </c>
      <c r="I403" t="s">
        <v>29</v>
      </c>
      <c r="J403" t="s">
        <v>46</v>
      </c>
      <c r="K403" s="13">
        <v>44206</v>
      </c>
      <c r="L403" t="s">
        <v>330</v>
      </c>
      <c r="M403" t="str">
        <f t="shared" si="14"/>
        <v>July</v>
      </c>
      <c r="N403">
        <f t="shared" si="15"/>
        <v>2020</v>
      </c>
    </row>
    <row r="404" spans="1:14" x14ac:dyDescent="0.25">
      <c r="A404">
        <v>402</v>
      </c>
      <c r="B404" s="52">
        <v>44018</v>
      </c>
      <c r="C404" s="2">
        <v>82.66</v>
      </c>
      <c r="D404" t="s">
        <v>415</v>
      </c>
      <c r="E404" t="s">
        <v>28</v>
      </c>
      <c r="F404" t="s">
        <v>54</v>
      </c>
      <c r="H404" t="s">
        <v>29</v>
      </c>
      <c r="I404" t="s">
        <v>29</v>
      </c>
      <c r="J404" t="s">
        <v>46</v>
      </c>
      <c r="K404" s="13">
        <v>44206</v>
      </c>
      <c r="L404" t="s">
        <v>330</v>
      </c>
      <c r="M404" t="str">
        <f t="shared" si="14"/>
        <v>July</v>
      </c>
      <c r="N404">
        <f t="shared" si="15"/>
        <v>2020</v>
      </c>
    </row>
    <row r="405" spans="1:14" x14ac:dyDescent="0.25">
      <c r="A405">
        <v>403</v>
      </c>
      <c r="B405" s="52">
        <v>44020</v>
      </c>
      <c r="C405" s="2">
        <v>39.11</v>
      </c>
      <c r="D405" t="s">
        <v>413</v>
      </c>
      <c r="E405" t="s">
        <v>28</v>
      </c>
      <c r="F405" t="s">
        <v>55</v>
      </c>
      <c r="H405" t="s">
        <v>29</v>
      </c>
      <c r="I405" t="s">
        <v>29</v>
      </c>
      <c r="J405" t="s">
        <v>46</v>
      </c>
      <c r="K405" s="13">
        <v>44206</v>
      </c>
      <c r="L405" t="s">
        <v>330</v>
      </c>
      <c r="M405" t="str">
        <f t="shared" si="14"/>
        <v>July</v>
      </c>
      <c r="N405">
        <f t="shared" si="15"/>
        <v>2020</v>
      </c>
    </row>
    <row r="406" spans="1:14" x14ac:dyDescent="0.25">
      <c r="A406">
        <v>404</v>
      </c>
      <c r="B406" s="52">
        <v>44021</v>
      </c>
      <c r="C406" s="2">
        <v>12.23</v>
      </c>
      <c r="D406" t="s">
        <v>393</v>
      </c>
      <c r="E406" t="s">
        <v>28</v>
      </c>
      <c r="F406" t="s">
        <v>522</v>
      </c>
      <c r="H406" t="s">
        <v>29</v>
      </c>
      <c r="I406" t="s">
        <v>29</v>
      </c>
      <c r="J406" t="s">
        <v>46</v>
      </c>
      <c r="K406" s="13">
        <v>44206</v>
      </c>
      <c r="L406" t="s">
        <v>330</v>
      </c>
      <c r="M406" t="str">
        <f t="shared" si="14"/>
        <v>July</v>
      </c>
      <c r="N406">
        <f t="shared" si="15"/>
        <v>2020</v>
      </c>
    </row>
    <row r="407" spans="1:14" x14ac:dyDescent="0.25">
      <c r="A407">
        <v>405</v>
      </c>
      <c r="B407" s="52">
        <v>44022</v>
      </c>
      <c r="C407" s="2">
        <v>39.11</v>
      </c>
      <c r="D407" t="s">
        <v>413</v>
      </c>
      <c r="E407" t="s">
        <v>28</v>
      </c>
      <c r="F407" t="s">
        <v>55</v>
      </c>
      <c r="H407" t="s">
        <v>29</v>
      </c>
      <c r="I407" t="s">
        <v>29</v>
      </c>
      <c r="J407" t="s">
        <v>46</v>
      </c>
      <c r="K407" s="13">
        <v>44206</v>
      </c>
      <c r="L407" t="s">
        <v>330</v>
      </c>
      <c r="M407" t="str">
        <f t="shared" si="14"/>
        <v>July</v>
      </c>
      <c r="N407">
        <f t="shared" si="15"/>
        <v>2020</v>
      </c>
    </row>
    <row r="408" spans="1:14" x14ac:dyDescent="0.25">
      <c r="A408">
        <v>406</v>
      </c>
      <c r="B408" s="52">
        <v>44022</v>
      </c>
      <c r="C408" s="2">
        <v>24.56</v>
      </c>
      <c r="D408" t="s">
        <v>403</v>
      </c>
      <c r="E408" t="s">
        <v>28</v>
      </c>
      <c r="F408" t="s">
        <v>54</v>
      </c>
      <c r="H408" t="s">
        <v>29</v>
      </c>
      <c r="I408" t="s">
        <v>29</v>
      </c>
      <c r="J408" t="s">
        <v>46</v>
      </c>
      <c r="K408" s="13">
        <v>44206</v>
      </c>
      <c r="L408" t="s">
        <v>330</v>
      </c>
      <c r="M408" t="str">
        <f t="shared" si="14"/>
        <v>July</v>
      </c>
      <c r="N408">
        <f t="shared" si="15"/>
        <v>2020</v>
      </c>
    </row>
    <row r="409" spans="1:14" x14ac:dyDescent="0.25">
      <c r="A409">
        <v>407</v>
      </c>
      <c r="B409" s="52">
        <v>44022</v>
      </c>
      <c r="C409" s="2">
        <v>11.38</v>
      </c>
      <c r="D409" t="s">
        <v>49</v>
      </c>
      <c r="E409" t="s">
        <v>28</v>
      </c>
      <c r="F409" t="s">
        <v>50</v>
      </c>
      <c r="H409" t="s">
        <v>29</v>
      </c>
      <c r="I409" t="s">
        <v>29</v>
      </c>
      <c r="J409" t="s">
        <v>46</v>
      </c>
      <c r="K409" s="13">
        <v>44206</v>
      </c>
      <c r="L409" t="s">
        <v>330</v>
      </c>
      <c r="M409" t="str">
        <f t="shared" si="14"/>
        <v>July</v>
      </c>
      <c r="N409">
        <f t="shared" si="15"/>
        <v>2020</v>
      </c>
    </row>
    <row r="410" spans="1:14" x14ac:dyDescent="0.25">
      <c r="A410">
        <v>408</v>
      </c>
      <c r="B410" s="52">
        <v>44026</v>
      </c>
      <c r="C410" s="2">
        <v>10.62</v>
      </c>
      <c r="D410" t="s">
        <v>416</v>
      </c>
      <c r="E410" t="s">
        <v>28</v>
      </c>
      <c r="F410" t="s">
        <v>50</v>
      </c>
      <c r="H410" t="s">
        <v>29</v>
      </c>
      <c r="I410" t="s">
        <v>29</v>
      </c>
      <c r="J410" t="s">
        <v>46</v>
      </c>
      <c r="K410" s="13">
        <v>44206</v>
      </c>
      <c r="L410" t="s">
        <v>330</v>
      </c>
      <c r="M410" t="str">
        <f t="shared" si="14"/>
        <v>July</v>
      </c>
      <c r="N410">
        <f t="shared" si="15"/>
        <v>2020</v>
      </c>
    </row>
    <row r="411" spans="1:14" x14ac:dyDescent="0.25">
      <c r="A411">
        <v>409</v>
      </c>
      <c r="B411" s="52">
        <v>44027</v>
      </c>
      <c r="C411" s="2">
        <v>39.11</v>
      </c>
      <c r="D411" t="s">
        <v>413</v>
      </c>
      <c r="E411" t="s">
        <v>28</v>
      </c>
      <c r="F411" t="s">
        <v>55</v>
      </c>
      <c r="H411" t="s">
        <v>29</v>
      </c>
      <c r="I411" t="s">
        <v>29</v>
      </c>
      <c r="J411" t="s">
        <v>46</v>
      </c>
      <c r="K411" s="13">
        <v>44206</v>
      </c>
      <c r="L411" t="s">
        <v>330</v>
      </c>
      <c r="M411" t="str">
        <f t="shared" si="14"/>
        <v>July</v>
      </c>
      <c r="N411">
        <f t="shared" si="15"/>
        <v>2020</v>
      </c>
    </row>
    <row r="412" spans="1:14" x14ac:dyDescent="0.25">
      <c r="A412">
        <v>410</v>
      </c>
      <c r="B412" s="52">
        <v>44029</v>
      </c>
      <c r="C412" s="2">
        <v>39.11</v>
      </c>
      <c r="D412" t="s">
        <v>413</v>
      </c>
      <c r="E412" t="s">
        <v>28</v>
      </c>
      <c r="F412" t="s">
        <v>55</v>
      </c>
      <c r="H412" t="s">
        <v>29</v>
      </c>
      <c r="I412" t="s">
        <v>29</v>
      </c>
      <c r="J412" t="s">
        <v>46</v>
      </c>
      <c r="K412" s="13">
        <v>44206</v>
      </c>
      <c r="L412" t="s">
        <v>330</v>
      </c>
      <c r="M412" t="str">
        <f t="shared" si="14"/>
        <v>July</v>
      </c>
      <c r="N412">
        <f t="shared" si="15"/>
        <v>2020</v>
      </c>
    </row>
    <row r="413" spans="1:14" x14ac:dyDescent="0.25">
      <c r="A413">
        <v>411</v>
      </c>
      <c r="B413" s="52">
        <v>44033</v>
      </c>
      <c r="C413" s="2">
        <v>68.900000000000006</v>
      </c>
      <c r="D413" t="s">
        <v>417</v>
      </c>
      <c r="E413" t="s">
        <v>28</v>
      </c>
      <c r="F413" t="s">
        <v>54</v>
      </c>
      <c r="H413" t="s">
        <v>29</v>
      </c>
      <c r="I413" t="s">
        <v>29</v>
      </c>
      <c r="J413" t="s">
        <v>46</v>
      </c>
      <c r="K413" s="13">
        <v>44206</v>
      </c>
      <c r="L413" t="s">
        <v>330</v>
      </c>
      <c r="M413" t="str">
        <f t="shared" si="14"/>
        <v>July</v>
      </c>
      <c r="N413">
        <f t="shared" si="15"/>
        <v>2020</v>
      </c>
    </row>
    <row r="414" spans="1:14" x14ac:dyDescent="0.25">
      <c r="A414">
        <v>412</v>
      </c>
      <c r="B414" s="52">
        <v>44036</v>
      </c>
      <c r="C414" s="2">
        <v>30.01</v>
      </c>
      <c r="D414" t="s">
        <v>418</v>
      </c>
      <c r="E414" t="s">
        <v>28</v>
      </c>
      <c r="F414" t="s">
        <v>53</v>
      </c>
      <c r="H414" t="s">
        <v>29</v>
      </c>
      <c r="I414" t="s">
        <v>29</v>
      </c>
      <c r="J414" t="s">
        <v>46</v>
      </c>
      <c r="K414" s="13">
        <v>44206</v>
      </c>
      <c r="L414" t="s">
        <v>330</v>
      </c>
      <c r="M414" t="str">
        <f t="shared" si="14"/>
        <v>July</v>
      </c>
      <c r="N414">
        <f t="shared" si="15"/>
        <v>2020</v>
      </c>
    </row>
    <row r="415" spans="1:14" x14ac:dyDescent="0.25">
      <c r="A415">
        <v>413</v>
      </c>
      <c r="B415" s="52">
        <v>44037</v>
      </c>
      <c r="C415" s="2">
        <v>9.3800000000000008</v>
      </c>
      <c r="D415" t="s">
        <v>419</v>
      </c>
      <c r="E415" t="s">
        <v>28</v>
      </c>
      <c r="F415" t="s">
        <v>53</v>
      </c>
      <c r="H415" t="s">
        <v>29</v>
      </c>
      <c r="I415" t="s">
        <v>29</v>
      </c>
      <c r="J415" t="s">
        <v>46</v>
      </c>
      <c r="K415" s="13">
        <v>44206</v>
      </c>
      <c r="L415" t="s">
        <v>330</v>
      </c>
      <c r="M415" t="str">
        <f t="shared" si="14"/>
        <v>July</v>
      </c>
      <c r="N415">
        <f t="shared" si="15"/>
        <v>2020</v>
      </c>
    </row>
    <row r="416" spans="1:14" x14ac:dyDescent="0.25">
      <c r="A416">
        <v>414</v>
      </c>
      <c r="B416" s="52">
        <v>44039</v>
      </c>
      <c r="C416" s="2">
        <v>52.99</v>
      </c>
      <c r="D416" t="s">
        <v>420</v>
      </c>
      <c r="E416" t="s">
        <v>28</v>
      </c>
      <c r="F416" t="s">
        <v>52</v>
      </c>
      <c r="H416" t="s">
        <v>29</v>
      </c>
      <c r="I416" t="s">
        <v>29</v>
      </c>
      <c r="J416" t="s">
        <v>46</v>
      </c>
      <c r="K416" s="13">
        <v>44206</v>
      </c>
      <c r="L416" t="s">
        <v>330</v>
      </c>
      <c r="M416" t="str">
        <f t="shared" si="14"/>
        <v>July</v>
      </c>
      <c r="N416">
        <f t="shared" si="15"/>
        <v>2020</v>
      </c>
    </row>
    <row r="417" spans="1:14" x14ac:dyDescent="0.25">
      <c r="A417">
        <v>415</v>
      </c>
      <c r="B417" s="52">
        <v>44042</v>
      </c>
      <c r="C417" s="2">
        <v>29.64</v>
      </c>
      <c r="D417" t="s">
        <v>413</v>
      </c>
      <c r="E417" t="s">
        <v>28</v>
      </c>
      <c r="F417" t="s">
        <v>55</v>
      </c>
      <c r="H417" t="s">
        <v>29</v>
      </c>
      <c r="I417" t="s">
        <v>29</v>
      </c>
      <c r="J417" t="s">
        <v>46</v>
      </c>
      <c r="K417" s="13">
        <v>44206</v>
      </c>
      <c r="L417" t="s">
        <v>330</v>
      </c>
      <c r="M417" t="str">
        <f t="shared" si="14"/>
        <v>July</v>
      </c>
      <c r="N417">
        <f t="shared" si="15"/>
        <v>2020</v>
      </c>
    </row>
    <row r="418" spans="1:14" x14ac:dyDescent="0.25">
      <c r="A418">
        <v>416</v>
      </c>
      <c r="B418" s="52">
        <v>44042</v>
      </c>
      <c r="C418" s="2">
        <v>11.65</v>
      </c>
      <c r="D418" t="s">
        <v>403</v>
      </c>
      <c r="E418" t="s">
        <v>28</v>
      </c>
      <c r="F418" t="s">
        <v>54</v>
      </c>
      <c r="H418" t="s">
        <v>29</v>
      </c>
      <c r="I418" t="s">
        <v>29</v>
      </c>
      <c r="J418" t="s">
        <v>46</v>
      </c>
      <c r="K418" s="13">
        <v>44206</v>
      </c>
      <c r="L418" t="s">
        <v>330</v>
      </c>
      <c r="M418" t="str">
        <f t="shared" si="14"/>
        <v>July</v>
      </c>
      <c r="N418">
        <f t="shared" si="15"/>
        <v>2020</v>
      </c>
    </row>
    <row r="419" spans="1:14" x14ac:dyDescent="0.25">
      <c r="A419">
        <v>417</v>
      </c>
      <c r="B419" s="52">
        <v>44042</v>
      </c>
      <c r="C419" s="2">
        <v>7.16</v>
      </c>
      <c r="D419" t="s">
        <v>421</v>
      </c>
      <c r="E419" t="s">
        <v>28</v>
      </c>
      <c r="F419" t="s">
        <v>50</v>
      </c>
      <c r="H419" t="s">
        <v>29</v>
      </c>
      <c r="I419" t="s">
        <v>29</v>
      </c>
      <c r="J419" t="s">
        <v>46</v>
      </c>
      <c r="K419" s="13">
        <v>44206</v>
      </c>
      <c r="L419" t="s">
        <v>330</v>
      </c>
      <c r="M419" t="str">
        <f t="shared" si="14"/>
        <v>July</v>
      </c>
      <c r="N419">
        <f t="shared" si="15"/>
        <v>2020</v>
      </c>
    </row>
    <row r="420" spans="1:14" x14ac:dyDescent="0.25">
      <c r="A420">
        <v>418</v>
      </c>
      <c r="B420" s="52">
        <v>44044</v>
      </c>
      <c r="C420" s="2">
        <v>29.77</v>
      </c>
      <c r="D420" t="s">
        <v>422</v>
      </c>
      <c r="E420" t="s">
        <v>28</v>
      </c>
      <c r="F420" t="s">
        <v>53</v>
      </c>
      <c r="H420" t="s">
        <v>29</v>
      </c>
      <c r="I420" t="s">
        <v>29</v>
      </c>
      <c r="J420" t="s">
        <v>46</v>
      </c>
      <c r="K420" s="13">
        <v>44206</v>
      </c>
      <c r="L420" t="s">
        <v>330</v>
      </c>
      <c r="M420" t="str">
        <f t="shared" si="14"/>
        <v>August</v>
      </c>
      <c r="N420">
        <f t="shared" si="15"/>
        <v>2020</v>
      </c>
    </row>
    <row r="421" spans="1:14" x14ac:dyDescent="0.25">
      <c r="A421">
        <v>419</v>
      </c>
      <c r="B421" s="52">
        <v>44049</v>
      </c>
      <c r="C421" s="2">
        <v>25.42</v>
      </c>
      <c r="D421" t="s">
        <v>403</v>
      </c>
      <c r="E421" t="s">
        <v>28</v>
      </c>
      <c r="F421" t="s">
        <v>54</v>
      </c>
      <c r="H421" t="s">
        <v>29</v>
      </c>
      <c r="I421" t="s">
        <v>29</v>
      </c>
      <c r="J421" t="s">
        <v>46</v>
      </c>
      <c r="K421" s="13">
        <v>44206</v>
      </c>
      <c r="L421" t="s">
        <v>330</v>
      </c>
      <c r="M421" t="str">
        <f t="shared" si="14"/>
        <v>August</v>
      </c>
      <c r="N421">
        <f t="shared" si="15"/>
        <v>2020</v>
      </c>
    </row>
    <row r="422" spans="1:14" x14ac:dyDescent="0.25">
      <c r="A422">
        <v>420</v>
      </c>
      <c r="B422" s="52">
        <v>44052</v>
      </c>
      <c r="C422" s="2">
        <v>21.9</v>
      </c>
      <c r="D422" t="s">
        <v>423</v>
      </c>
      <c r="E422" t="s">
        <v>28</v>
      </c>
      <c r="F422" t="s">
        <v>53</v>
      </c>
      <c r="H422" t="s">
        <v>29</v>
      </c>
      <c r="I422" t="s">
        <v>29</v>
      </c>
      <c r="J422" t="s">
        <v>46</v>
      </c>
      <c r="K422" s="13">
        <v>44206</v>
      </c>
      <c r="L422" t="s">
        <v>330</v>
      </c>
      <c r="M422" t="str">
        <f t="shared" si="14"/>
        <v>August</v>
      </c>
      <c r="N422">
        <f t="shared" si="15"/>
        <v>2020</v>
      </c>
    </row>
    <row r="423" spans="1:14" x14ac:dyDescent="0.25">
      <c r="A423">
        <v>421</v>
      </c>
      <c r="B423" s="52">
        <v>44056</v>
      </c>
      <c r="C423" s="2">
        <v>52.99</v>
      </c>
      <c r="D423" t="s">
        <v>424</v>
      </c>
      <c r="E423" t="s">
        <v>28</v>
      </c>
      <c r="F423" t="s">
        <v>54</v>
      </c>
      <c r="H423" t="s">
        <v>29</v>
      </c>
      <c r="I423" t="s">
        <v>29</v>
      </c>
      <c r="J423" t="s">
        <v>46</v>
      </c>
      <c r="K423" s="13">
        <v>44206</v>
      </c>
      <c r="L423" t="s">
        <v>330</v>
      </c>
      <c r="M423" t="str">
        <f t="shared" si="14"/>
        <v>August</v>
      </c>
      <c r="N423">
        <f t="shared" si="15"/>
        <v>2020</v>
      </c>
    </row>
    <row r="424" spans="1:14" x14ac:dyDescent="0.25">
      <c r="A424">
        <v>422</v>
      </c>
      <c r="B424" s="52">
        <v>44058</v>
      </c>
      <c r="C424" s="2">
        <v>4.76</v>
      </c>
      <c r="D424" t="s">
        <v>425</v>
      </c>
      <c r="E424" t="s">
        <v>28</v>
      </c>
      <c r="F424" t="s">
        <v>50</v>
      </c>
      <c r="H424" t="s">
        <v>29</v>
      </c>
      <c r="I424" t="s">
        <v>29</v>
      </c>
      <c r="J424" t="s">
        <v>46</v>
      </c>
      <c r="K424" s="13">
        <v>44206</v>
      </c>
      <c r="L424" t="s">
        <v>330</v>
      </c>
      <c r="M424" t="str">
        <f t="shared" si="14"/>
        <v>August</v>
      </c>
      <c r="N424">
        <f t="shared" si="15"/>
        <v>2020</v>
      </c>
    </row>
    <row r="425" spans="1:14" x14ac:dyDescent="0.25">
      <c r="A425">
        <v>423</v>
      </c>
      <c r="B425" s="52">
        <v>44058</v>
      </c>
      <c r="C425" s="2">
        <v>24.22</v>
      </c>
      <c r="D425" t="s">
        <v>426</v>
      </c>
      <c r="E425" t="s">
        <v>28</v>
      </c>
      <c r="F425" t="s">
        <v>53</v>
      </c>
      <c r="H425" t="s">
        <v>29</v>
      </c>
      <c r="I425" t="s">
        <v>29</v>
      </c>
      <c r="J425" t="s">
        <v>46</v>
      </c>
      <c r="K425" s="13">
        <v>44206</v>
      </c>
      <c r="L425" t="s">
        <v>330</v>
      </c>
      <c r="M425" t="str">
        <f t="shared" si="14"/>
        <v>August</v>
      </c>
      <c r="N425">
        <f t="shared" si="15"/>
        <v>2020</v>
      </c>
    </row>
    <row r="426" spans="1:14" x14ac:dyDescent="0.25">
      <c r="A426">
        <v>424</v>
      </c>
      <c r="B426" s="52">
        <v>44062</v>
      </c>
      <c r="C426" s="2">
        <v>165.31</v>
      </c>
      <c r="D426" t="s">
        <v>427</v>
      </c>
      <c r="E426" t="s">
        <v>28</v>
      </c>
      <c r="F426" t="s">
        <v>56</v>
      </c>
      <c r="H426" t="s">
        <v>29</v>
      </c>
      <c r="I426" t="s">
        <v>29</v>
      </c>
      <c r="J426" t="s">
        <v>46</v>
      </c>
      <c r="K426" s="13">
        <v>44206</v>
      </c>
      <c r="L426" t="s">
        <v>330</v>
      </c>
      <c r="M426" t="str">
        <f t="shared" si="14"/>
        <v>August</v>
      </c>
      <c r="N426">
        <f t="shared" si="15"/>
        <v>2020</v>
      </c>
    </row>
    <row r="427" spans="1:14" x14ac:dyDescent="0.25">
      <c r="A427">
        <v>425</v>
      </c>
      <c r="B427" s="52">
        <v>44068</v>
      </c>
      <c r="C427" s="2">
        <v>32.130000000000003</v>
      </c>
      <c r="D427" t="s">
        <v>428</v>
      </c>
      <c r="E427" t="s">
        <v>28</v>
      </c>
      <c r="F427" t="s">
        <v>53</v>
      </c>
      <c r="G427" t="s">
        <v>514</v>
      </c>
      <c r="H427" t="s">
        <v>29</v>
      </c>
      <c r="I427" t="s">
        <v>29</v>
      </c>
      <c r="J427" t="s">
        <v>46</v>
      </c>
      <c r="K427" s="13">
        <v>44206</v>
      </c>
      <c r="L427" t="s">
        <v>330</v>
      </c>
      <c r="M427" t="str">
        <f t="shared" si="14"/>
        <v>August</v>
      </c>
      <c r="N427">
        <f t="shared" si="15"/>
        <v>2020</v>
      </c>
    </row>
    <row r="428" spans="1:14" x14ac:dyDescent="0.25">
      <c r="A428">
        <v>426</v>
      </c>
      <c r="B428" s="52">
        <v>44070</v>
      </c>
      <c r="C428" s="2">
        <v>57</v>
      </c>
      <c r="D428" t="s">
        <v>370</v>
      </c>
      <c r="E428" t="s">
        <v>28</v>
      </c>
      <c r="F428" t="s">
        <v>520</v>
      </c>
      <c r="H428" t="s">
        <v>29</v>
      </c>
      <c r="I428" t="s">
        <v>29</v>
      </c>
      <c r="J428" t="s">
        <v>46</v>
      </c>
      <c r="K428" s="13">
        <v>44206</v>
      </c>
      <c r="L428" t="s">
        <v>330</v>
      </c>
      <c r="M428" t="str">
        <f t="shared" si="14"/>
        <v>August</v>
      </c>
      <c r="N428">
        <f t="shared" si="15"/>
        <v>2020</v>
      </c>
    </row>
    <row r="429" spans="1:14" x14ac:dyDescent="0.25">
      <c r="A429">
        <v>427</v>
      </c>
      <c r="B429" s="52">
        <v>44075</v>
      </c>
      <c r="C429" s="2">
        <v>6.36</v>
      </c>
      <c r="D429" t="s">
        <v>376</v>
      </c>
      <c r="E429" t="s">
        <v>28</v>
      </c>
      <c r="F429" t="s">
        <v>55</v>
      </c>
      <c r="H429" t="s">
        <v>29</v>
      </c>
      <c r="I429" t="s">
        <v>29</v>
      </c>
      <c r="J429" t="s">
        <v>46</v>
      </c>
      <c r="K429" s="13">
        <v>44206</v>
      </c>
      <c r="L429" t="s">
        <v>330</v>
      </c>
      <c r="M429" t="str">
        <f t="shared" si="14"/>
        <v>September</v>
      </c>
      <c r="N429">
        <f t="shared" si="15"/>
        <v>2020</v>
      </c>
    </row>
    <row r="430" spans="1:14" x14ac:dyDescent="0.25">
      <c r="A430">
        <v>428</v>
      </c>
      <c r="B430" s="52">
        <v>44075</v>
      </c>
      <c r="C430" s="2">
        <v>38.99</v>
      </c>
      <c r="D430" t="s">
        <v>429</v>
      </c>
      <c r="E430" t="s">
        <v>28</v>
      </c>
      <c r="F430" t="s">
        <v>53</v>
      </c>
      <c r="H430" t="s">
        <v>29</v>
      </c>
      <c r="I430" t="s">
        <v>29</v>
      </c>
      <c r="J430" t="s">
        <v>46</v>
      </c>
      <c r="K430" s="13">
        <v>44206</v>
      </c>
      <c r="L430" t="s">
        <v>330</v>
      </c>
      <c r="M430" t="str">
        <f t="shared" si="14"/>
        <v>September</v>
      </c>
      <c r="N430">
        <f t="shared" si="15"/>
        <v>2020</v>
      </c>
    </row>
    <row r="431" spans="1:14" x14ac:dyDescent="0.25">
      <c r="A431">
        <v>429</v>
      </c>
      <c r="B431" s="52">
        <v>44079</v>
      </c>
      <c r="C431" s="2">
        <v>3.35</v>
      </c>
      <c r="D431" t="s">
        <v>430</v>
      </c>
      <c r="E431" t="s">
        <v>28</v>
      </c>
      <c r="F431" t="s">
        <v>50</v>
      </c>
      <c r="H431" t="s">
        <v>29</v>
      </c>
      <c r="I431" t="s">
        <v>29</v>
      </c>
      <c r="J431" t="s">
        <v>46</v>
      </c>
      <c r="K431" s="13">
        <v>44206</v>
      </c>
      <c r="L431" t="s">
        <v>330</v>
      </c>
      <c r="M431" t="str">
        <f t="shared" si="14"/>
        <v>September</v>
      </c>
      <c r="N431">
        <f t="shared" si="15"/>
        <v>2020</v>
      </c>
    </row>
    <row r="432" spans="1:14" x14ac:dyDescent="0.25">
      <c r="A432">
        <v>430</v>
      </c>
      <c r="B432" s="52">
        <v>44087</v>
      </c>
      <c r="C432" s="2">
        <v>100</v>
      </c>
      <c r="D432" t="s">
        <v>431</v>
      </c>
      <c r="E432" t="s">
        <v>28</v>
      </c>
      <c r="F432" t="s">
        <v>520</v>
      </c>
      <c r="H432" t="s">
        <v>29</v>
      </c>
      <c r="I432" t="s">
        <v>29</v>
      </c>
      <c r="J432" t="s">
        <v>46</v>
      </c>
      <c r="K432" s="13">
        <v>44206</v>
      </c>
      <c r="L432" t="s">
        <v>330</v>
      </c>
      <c r="M432" t="str">
        <f t="shared" si="14"/>
        <v>September</v>
      </c>
      <c r="N432">
        <f t="shared" si="15"/>
        <v>2020</v>
      </c>
    </row>
    <row r="433" spans="1:14" x14ac:dyDescent="0.25">
      <c r="A433">
        <v>431</v>
      </c>
      <c r="B433" s="52">
        <v>44088</v>
      </c>
      <c r="C433" s="2">
        <v>39.5</v>
      </c>
      <c r="D433" t="s">
        <v>432</v>
      </c>
      <c r="E433" t="s">
        <v>28</v>
      </c>
      <c r="F433" t="s">
        <v>54</v>
      </c>
      <c r="H433" t="s">
        <v>29</v>
      </c>
      <c r="I433" t="s">
        <v>29</v>
      </c>
      <c r="J433" t="s">
        <v>46</v>
      </c>
      <c r="K433" s="13">
        <v>44206</v>
      </c>
      <c r="L433" t="s">
        <v>330</v>
      </c>
      <c r="M433" t="str">
        <f t="shared" si="14"/>
        <v>September</v>
      </c>
      <c r="N433">
        <f t="shared" si="15"/>
        <v>2020</v>
      </c>
    </row>
    <row r="434" spans="1:14" x14ac:dyDescent="0.25">
      <c r="A434">
        <v>432</v>
      </c>
      <c r="B434" s="52">
        <v>44092</v>
      </c>
      <c r="C434" s="2">
        <v>24</v>
      </c>
      <c r="D434" t="s">
        <v>398</v>
      </c>
      <c r="E434" t="s">
        <v>28</v>
      </c>
      <c r="F434" t="s">
        <v>53</v>
      </c>
      <c r="H434" t="s">
        <v>29</v>
      </c>
      <c r="I434" t="s">
        <v>29</v>
      </c>
      <c r="J434" t="s">
        <v>46</v>
      </c>
      <c r="K434" s="13">
        <v>44206</v>
      </c>
      <c r="L434" t="s">
        <v>330</v>
      </c>
      <c r="M434" t="str">
        <f t="shared" si="14"/>
        <v>September</v>
      </c>
      <c r="N434">
        <f t="shared" si="15"/>
        <v>2020</v>
      </c>
    </row>
    <row r="435" spans="1:14" x14ac:dyDescent="0.25">
      <c r="A435">
        <v>433</v>
      </c>
      <c r="B435" s="52">
        <v>44097</v>
      </c>
      <c r="C435" s="2">
        <v>10.01</v>
      </c>
      <c r="D435" t="s">
        <v>433</v>
      </c>
      <c r="E435" t="s">
        <v>28</v>
      </c>
      <c r="F435" t="s">
        <v>50</v>
      </c>
      <c r="H435" t="s">
        <v>29</v>
      </c>
      <c r="I435" t="s">
        <v>29</v>
      </c>
      <c r="J435" t="s">
        <v>46</v>
      </c>
      <c r="K435" s="13">
        <v>44206</v>
      </c>
      <c r="L435" t="s">
        <v>330</v>
      </c>
      <c r="M435" t="str">
        <f t="shared" si="14"/>
        <v>September</v>
      </c>
      <c r="N435">
        <f t="shared" si="15"/>
        <v>2020</v>
      </c>
    </row>
    <row r="436" spans="1:14" x14ac:dyDescent="0.25">
      <c r="A436">
        <v>434</v>
      </c>
      <c r="B436" s="52">
        <v>44098</v>
      </c>
      <c r="C436" s="2">
        <v>89</v>
      </c>
      <c r="D436" t="s">
        <v>400</v>
      </c>
      <c r="E436" t="s">
        <v>28</v>
      </c>
      <c r="F436" t="s">
        <v>54</v>
      </c>
      <c r="H436" t="s">
        <v>29</v>
      </c>
      <c r="I436" t="s">
        <v>29</v>
      </c>
      <c r="J436" t="s">
        <v>46</v>
      </c>
      <c r="K436" s="13">
        <v>44206</v>
      </c>
      <c r="L436" t="s">
        <v>330</v>
      </c>
      <c r="M436" t="str">
        <f t="shared" si="14"/>
        <v>September</v>
      </c>
      <c r="N436">
        <f t="shared" si="15"/>
        <v>2020</v>
      </c>
    </row>
    <row r="437" spans="1:14" x14ac:dyDescent="0.25">
      <c r="A437">
        <v>435</v>
      </c>
      <c r="B437" s="52">
        <v>44104</v>
      </c>
      <c r="C437" s="2">
        <v>30.7</v>
      </c>
      <c r="D437" t="s">
        <v>434</v>
      </c>
      <c r="E437" t="s">
        <v>28</v>
      </c>
      <c r="F437" t="s">
        <v>33</v>
      </c>
      <c r="H437" t="s">
        <v>29</v>
      </c>
      <c r="I437" t="s">
        <v>29</v>
      </c>
      <c r="J437" t="s">
        <v>46</v>
      </c>
      <c r="K437" s="13">
        <v>44206</v>
      </c>
      <c r="L437" t="s">
        <v>330</v>
      </c>
      <c r="M437" t="str">
        <f t="shared" si="14"/>
        <v>September</v>
      </c>
      <c r="N437">
        <f t="shared" si="15"/>
        <v>2020</v>
      </c>
    </row>
    <row r="438" spans="1:14" x14ac:dyDescent="0.25">
      <c r="A438">
        <v>436</v>
      </c>
      <c r="B438" s="52">
        <v>44105</v>
      </c>
      <c r="C438" s="2">
        <v>20</v>
      </c>
      <c r="D438" t="s">
        <v>435</v>
      </c>
      <c r="E438" t="s">
        <v>28</v>
      </c>
      <c r="F438" t="s">
        <v>520</v>
      </c>
      <c r="H438" t="s">
        <v>29</v>
      </c>
      <c r="I438" t="s">
        <v>29</v>
      </c>
      <c r="J438" t="s">
        <v>46</v>
      </c>
      <c r="K438" s="13">
        <v>44206</v>
      </c>
      <c r="L438" t="s">
        <v>330</v>
      </c>
      <c r="M438" t="str">
        <f t="shared" si="14"/>
        <v>October</v>
      </c>
      <c r="N438">
        <f t="shared" si="15"/>
        <v>2020</v>
      </c>
    </row>
    <row r="439" spans="1:14" x14ac:dyDescent="0.25">
      <c r="A439">
        <v>437</v>
      </c>
      <c r="B439" s="52">
        <v>44105</v>
      </c>
      <c r="C439" s="2">
        <v>143.9</v>
      </c>
      <c r="D439" t="s">
        <v>436</v>
      </c>
      <c r="E439" t="s">
        <v>28</v>
      </c>
      <c r="F439" t="s">
        <v>520</v>
      </c>
      <c r="H439" t="s">
        <v>29</v>
      </c>
      <c r="I439" t="s">
        <v>29</v>
      </c>
      <c r="J439" t="s">
        <v>46</v>
      </c>
      <c r="K439" s="13">
        <v>44206</v>
      </c>
      <c r="L439" t="s">
        <v>330</v>
      </c>
      <c r="M439" t="str">
        <f t="shared" si="14"/>
        <v>October</v>
      </c>
      <c r="N439">
        <f t="shared" si="15"/>
        <v>2020</v>
      </c>
    </row>
    <row r="440" spans="1:14" x14ac:dyDescent="0.25">
      <c r="A440">
        <v>438</v>
      </c>
      <c r="B440" s="52">
        <v>44105</v>
      </c>
      <c r="C440" s="2">
        <v>29.66</v>
      </c>
      <c r="D440" t="s">
        <v>396</v>
      </c>
      <c r="E440" t="s">
        <v>28</v>
      </c>
      <c r="F440" t="s">
        <v>33</v>
      </c>
      <c r="H440" t="s">
        <v>29</v>
      </c>
      <c r="I440" t="s">
        <v>29</v>
      </c>
      <c r="J440" t="s">
        <v>46</v>
      </c>
      <c r="K440" s="13">
        <v>44206</v>
      </c>
      <c r="L440" t="s">
        <v>330</v>
      </c>
      <c r="M440" t="str">
        <f t="shared" si="14"/>
        <v>October</v>
      </c>
      <c r="N440">
        <f t="shared" si="15"/>
        <v>2020</v>
      </c>
    </row>
    <row r="441" spans="1:14" x14ac:dyDescent="0.25">
      <c r="A441">
        <v>439</v>
      </c>
      <c r="B441" s="52">
        <v>44107</v>
      </c>
      <c r="C441" s="2">
        <v>43</v>
      </c>
      <c r="D441" t="s">
        <v>437</v>
      </c>
      <c r="E441" t="s">
        <v>28</v>
      </c>
      <c r="F441" t="s">
        <v>32</v>
      </c>
      <c r="H441" t="s">
        <v>29</v>
      </c>
      <c r="I441" t="s">
        <v>29</v>
      </c>
      <c r="J441" t="s">
        <v>46</v>
      </c>
      <c r="K441" s="13">
        <v>44206</v>
      </c>
      <c r="L441" t="s">
        <v>330</v>
      </c>
      <c r="M441" t="str">
        <f t="shared" si="14"/>
        <v>October</v>
      </c>
      <c r="N441">
        <f t="shared" si="15"/>
        <v>2020</v>
      </c>
    </row>
    <row r="442" spans="1:14" x14ac:dyDescent="0.25">
      <c r="A442">
        <v>440</v>
      </c>
      <c r="B442" s="52">
        <v>44111</v>
      </c>
      <c r="C442" s="2">
        <v>61.06</v>
      </c>
      <c r="D442" t="s">
        <v>438</v>
      </c>
      <c r="E442" t="s">
        <v>28</v>
      </c>
      <c r="F442" t="s">
        <v>522</v>
      </c>
      <c r="H442" t="s">
        <v>29</v>
      </c>
      <c r="I442" t="s">
        <v>29</v>
      </c>
      <c r="J442" t="s">
        <v>46</v>
      </c>
      <c r="K442" s="13">
        <v>44206</v>
      </c>
      <c r="L442" t="s">
        <v>330</v>
      </c>
      <c r="M442" t="str">
        <f t="shared" si="14"/>
        <v>October</v>
      </c>
      <c r="N442">
        <f t="shared" si="15"/>
        <v>2020</v>
      </c>
    </row>
    <row r="443" spans="1:14" x14ac:dyDescent="0.25">
      <c r="A443">
        <v>441</v>
      </c>
      <c r="B443" s="52">
        <v>44113</v>
      </c>
      <c r="C443" s="2">
        <v>22.36</v>
      </c>
      <c r="D443" t="s">
        <v>393</v>
      </c>
      <c r="E443" t="s">
        <v>28</v>
      </c>
      <c r="F443" t="s">
        <v>522</v>
      </c>
      <c r="H443" t="s">
        <v>29</v>
      </c>
      <c r="I443" t="s">
        <v>29</v>
      </c>
      <c r="J443" t="s">
        <v>46</v>
      </c>
      <c r="K443" s="13">
        <v>44206</v>
      </c>
      <c r="L443" t="s">
        <v>330</v>
      </c>
      <c r="M443" t="str">
        <f t="shared" si="14"/>
        <v>October</v>
      </c>
      <c r="N443">
        <f t="shared" si="15"/>
        <v>2020</v>
      </c>
    </row>
    <row r="444" spans="1:14" x14ac:dyDescent="0.25">
      <c r="A444">
        <v>442</v>
      </c>
      <c r="B444" s="52">
        <v>44114</v>
      </c>
      <c r="C444" s="2">
        <v>29.57</v>
      </c>
      <c r="D444" t="s">
        <v>393</v>
      </c>
      <c r="E444" t="s">
        <v>28</v>
      </c>
      <c r="F444" t="s">
        <v>522</v>
      </c>
      <c r="H444" t="s">
        <v>29</v>
      </c>
      <c r="I444" t="s">
        <v>29</v>
      </c>
      <c r="J444" t="s">
        <v>46</v>
      </c>
      <c r="K444" s="13">
        <v>44206</v>
      </c>
      <c r="L444" t="s">
        <v>330</v>
      </c>
      <c r="M444" t="str">
        <f t="shared" si="14"/>
        <v>October</v>
      </c>
      <c r="N444">
        <f t="shared" si="15"/>
        <v>2020</v>
      </c>
    </row>
    <row r="445" spans="1:14" x14ac:dyDescent="0.25">
      <c r="A445">
        <v>443</v>
      </c>
      <c r="B445" s="52">
        <v>44115</v>
      </c>
      <c r="C445" s="2">
        <v>7.67</v>
      </c>
      <c r="D445" t="s">
        <v>439</v>
      </c>
      <c r="E445" t="s">
        <v>28</v>
      </c>
      <c r="F445" t="s">
        <v>50</v>
      </c>
      <c r="H445" t="s">
        <v>29</v>
      </c>
      <c r="I445" t="s">
        <v>29</v>
      </c>
      <c r="J445" t="s">
        <v>46</v>
      </c>
      <c r="K445" s="13">
        <v>44206</v>
      </c>
      <c r="L445" t="s">
        <v>330</v>
      </c>
      <c r="M445" t="str">
        <f t="shared" si="14"/>
        <v>October</v>
      </c>
      <c r="N445">
        <f t="shared" si="15"/>
        <v>2020</v>
      </c>
    </row>
    <row r="446" spans="1:14" x14ac:dyDescent="0.25">
      <c r="A446">
        <v>444</v>
      </c>
      <c r="B446" s="52">
        <v>44117</v>
      </c>
      <c r="C446" s="2">
        <v>6.63</v>
      </c>
      <c r="D446" t="s">
        <v>440</v>
      </c>
      <c r="E446" t="s">
        <v>28</v>
      </c>
      <c r="F446" t="s">
        <v>50</v>
      </c>
      <c r="H446" t="s">
        <v>29</v>
      </c>
      <c r="I446" t="s">
        <v>29</v>
      </c>
      <c r="J446" t="s">
        <v>46</v>
      </c>
      <c r="K446" s="13">
        <v>44206</v>
      </c>
      <c r="L446" t="s">
        <v>330</v>
      </c>
      <c r="M446" t="str">
        <f t="shared" si="14"/>
        <v>October</v>
      </c>
      <c r="N446">
        <f t="shared" si="15"/>
        <v>2020</v>
      </c>
    </row>
    <row r="447" spans="1:14" x14ac:dyDescent="0.25">
      <c r="A447">
        <v>445</v>
      </c>
      <c r="B447" s="52">
        <v>44118</v>
      </c>
      <c r="C447" s="2">
        <v>41</v>
      </c>
      <c r="D447" t="s">
        <v>441</v>
      </c>
      <c r="E447" t="s">
        <v>28</v>
      </c>
      <c r="F447" t="s">
        <v>50</v>
      </c>
      <c r="G447" t="s">
        <v>517</v>
      </c>
      <c r="H447" t="s">
        <v>29</v>
      </c>
      <c r="I447" t="s">
        <v>29</v>
      </c>
      <c r="J447" t="s">
        <v>46</v>
      </c>
      <c r="K447" s="13">
        <v>44206</v>
      </c>
      <c r="L447" t="s">
        <v>330</v>
      </c>
      <c r="M447" t="str">
        <f t="shared" si="14"/>
        <v>October</v>
      </c>
      <c r="N447">
        <f t="shared" si="15"/>
        <v>2020</v>
      </c>
    </row>
    <row r="448" spans="1:14" x14ac:dyDescent="0.25">
      <c r="A448">
        <v>446</v>
      </c>
      <c r="B448" s="52">
        <v>44119</v>
      </c>
      <c r="C448" s="2">
        <v>9.76</v>
      </c>
      <c r="D448" t="s">
        <v>442</v>
      </c>
      <c r="E448" t="s">
        <v>28</v>
      </c>
      <c r="F448" t="s">
        <v>51</v>
      </c>
      <c r="H448" t="s">
        <v>29</v>
      </c>
      <c r="I448" t="s">
        <v>29</v>
      </c>
      <c r="J448" t="s">
        <v>46</v>
      </c>
      <c r="K448" s="13">
        <v>44206</v>
      </c>
      <c r="L448" t="s">
        <v>330</v>
      </c>
      <c r="M448" t="str">
        <f t="shared" si="14"/>
        <v>October</v>
      </c>
      <c r="N448">
        <f t="shared" si="15"/>
        <v>2020</v>
      </c>
    </row>
    <row r="449" spans="1:14" x14ac:dyDescent="0.25">
      <c r="A449">
        <v>447</v>
      </c>
      <c r="B449" s="52">
        <v>44120</v>
      </c>
      <c r="C449" s="2">
        <v>30.22</v>
      </c>
      <c r="D449" t="s">
        <v>443</v>
      </c>
      <c r="E449" t="s">
        <v>28</v>
      </c>
      <c r="F449" t="s">
        <v>33</v>
      </c>
      <c r="H449" t="s">
        <v>29</v>
      </c>
      <c r="I449" t="s">
        <v>29</v>
      </c>
      <c r="J449" t="s">
        <v>46</v>
      </c>
      <c r="K449" s="13">
        <v>44206</v>
      </c>
      <c r="L449" t="s">
        <v>330</v>
      </c>
      <c r="M449" t="str">
        <f t="shared" si="14"/>
        <v>October</v>
      </c>
      <c r="N449">
        <f t="shared" si="15"/>
        <v>2020</v>
      </c>
    </row>
    <row r="450" spans="1:14" x14ac:dyDescent="0.25">
      <c r="A450">
        <v>448</v>
      </c>
      <c r="B450" s="52">
        <v>44120</v>
      </c>
      <c r="C450" s="2">
        <v>5.5</v>
      </c>
      <c r="D450" t="s">
        <v>444</v>
      </c>
      <c r="E450" t="s">
        <v>28</v>
      </c>
      <c r="F450" t="s">
        <v>53</v>
      </c>
      <c r="H450" t="s">
        <v>29</v>
      </c>
      <c r="I450" t="s">
        <v>29</v>
      </c>
      <c r="J450" t="s">
        <v>46</v>
      </c>
      <c r="K450" s="13">
        <v>44206</v>
      </c>
      <c r="L450" t="s">
        <v>330</v>
      </c>
      <c r="M450" t="str">
        <f t="shared" si="14"/>
        <v>October</v>
      </c>
      <c r="N450">
        <f t="shared" si="15"/>
        <v>2020</v>
      </c>
    </row>
    <row r="451" spans="1:14" x14ac:dyDescent="0.25">
      <c r="A451">
        <v>449</v>
      </c>
      <c r="B451" s="52">
        <v>44122</v>
      </c>
      <c r="C451" s="2">
        <v>16.309999999999999</v>
      </c>
      <c r="D451" t="s">
        <v>445</v>
      </c>
      <c r="E451" t="s">
        <v>28</v>
      </c>
      <c r="F451" t="s">
        <v>52</v>
      </c>
      <c r="H451" t="s">
        <v>29</v>
      </c>
      <c r="I451" t="s">
        <v>29</v>
      </c>
      <c r="J451" t="s">
        <v>46</v>
      </c>
      <c r="K451" s="13">
        <v>44206</v>
      </c>
      <c r="L451" t="s">
        <v>330</v>
      </c>
      <c r="M451" t="str">
        <f t="shared" ref="M451:M514" si="16">TEXT(B451,"mmmm")</f>
        <v>October</v>
      </c>
      <c r="N451">
        <f t="shared" ref="N451:N514" si="17">YEAR(B451)</f>
        <v>2020</v>
      </c>
    </row>
    <row r="452" spans="1:14" x14ac:dyDescent="0.25">
      <c r="A452">
        <v>450</v>
      </c>
      <c r="B452" s="52">
        <v>44122</v>
      </c>
      <c r="C452" s="2">
        <v>27.06</v>
      </c>
      <c r="D452" t="s">
        <v>446</v>
      </c>
      <c r="E452" t="s">
        <v>28</v>
      </c>
      <c r="F452" t="s">
        <v>521</v>
      </c>
      <c r="H452" t="s">
        <v>29</v>
      </c>
      <c r="I452" t="s">
        <v>29</v>
      </c>
      <c r="J452" t="s">
        <v>46</v>
      </c>
      <c r="K452" s="13">
        <v>44206</v>
      </c>
      <c r="L452" t="s">
        <v>330</v>
      </c>
      <c r="M452" t="str">
        <f t="shared" si="16"/>
        <v>October</v>
      </c>
      <c r="N452">
        <f t="shared" si="17"/>
        <v>2020</v>
      </c>
    </row>
    <row r="453" spans="1:14" x14ac:dyDescent="0.25">
      <c r="A453">
        <v>451</v>
      </c>
      <c r="B453" s="52">
        <v>44122</v>
      </c>
      <c r="C453" s="2">
        <v>59.36</v>
      </c>
      <c r="D453" t="s">
        <v>447</v>
      </c>
      <c r="E453" t="s">
        <v>28</v>
      </c>
      <c r="F453" t="s">
        <v>521</v>
      </c>
      <c r="H453" t="s">
        <v>29</v>
      </c>
      <c r="I453" t="s">
        <v>29</v>
      </c>
      <c r="J453" t="s">
        <v>46</v>
      </c>
      <c r="K453" s="13">
        <v>44206</v>
      </c>
      <c r="L453" t="s">
        <v>330</v>
      </c>
      <c r="M453" t="str">
        <f t="shared" si="16"/>
        <v>October</v>
      </c>
      <c r="N453">
        <f t="shared" si="17"/>
        <v>2020</v>
      </c>
    </row>
    <row r="454" spans="1:14" x14ac:dyDescent="0.25">
      <c r="A454">
        <v>452</v>
      </c>
      <c r="B454" s="52">
        <v>44124</v>
      </c>
      <c r="C454" s="2">
        <v>13.77</v>
      </c>
      <c r="D454" t="s">
        <v>403</v>
      </c>
      <c r="E454" t="s">
        <v>28</v>
      </c>
      <c r="F454" t="s">
        <v>54</v>
      </c>
      <c r="H454" t="s">
        <v>29</v>
      </c>
      <c r="I454" t="s">
        <v>29</v>
      </c>
      <c r="J454" t="s">
        <v>46</v>
      </c>
      <c r="K454" s="13">
        <v>44206</v>
      </c>
      <c r="L454" t="s">
        <v>330</v>
      </c>
      <c r="M454" t="str">
        <f t="shared" si="16"/>
        <v>October</v>
      </c>
      <c r="N454">
        <f t="shared" si="17"/>
        <v>2020</v>
      </c>
    </row>
    <row r="455" spans="1:14" x14ac:dyDescent="0.25">
      <c r="A455">
        <v>453</v>
      </c>
      <c r="B455" s="52">
        <v>44124</v>
      </c>
      <c r="C455" s="2">
        <v>53</v>
      </c>
      <c r="D455" t="s">
        <v>448</v>
      </c>
      <c r="E455" t="s">
        <v>28</v>
      </c>
      <c r="F455" t="s">
        <v>520</v>
      </c>
      <c r="H455" t="s">
        <v>29</v>
      </c>
      <c r="I455" t="s">
        <v>29</v>
      </c>
      <c r="J455" t="s">
        <v>46</v>
      </c>
      <c r="K455" s="13">
        <v>44206</v>
      </c>
      <c r="L455" t="s">
        <v>330</v>
      </c>
      <c r="M455" t="str">
        <f t="shared" si="16"/>
        <v>October</v>
      </c>
      <c r="N455">
        <f t="shared" si="17"/>
        <v>2020</v>
      </c>
    </row>
    <row r="456" spans="1:14" x14ac:dyDescent="0.25">
      <c r="A456">
        <v>454</v>
      </c>
      <c r="B456" s="52">
        <v>44124</v>
      </c>
      <c r="C456" s="2">
        <v>70.56</v>
      </c>
      <c r="D456" t="s">
        <v>449</v>
      </c>
      <c r="E456" t="s">
        <v>28</v>
      </c>
      <c r="F456" t="s">
        <v>32</v>
      </c>
      <c r="G456" t="s">
        <v>513</v>
      </c>
      <c r="H456" t="s">
        <v>29</v>
      </c>
      <c r="I456" t="s">
        <v>29</v>
      </c>
      <c r="J456" t="s">
        <v>46</v>
      </c>
      <c r="K456" s="13">
        <v>44206</v>
      </c>
      <c r="L456" t="s">
        <v>330</v>
      </c>
      <c r="M456" t="str">
        <f t="shared" si="16"/>
        <v>October</v>
      </c>
      <c r="N456">
        <f t="shared" si="17"/>
        <v>2020</v>
      </c>
    </row>
    <row r="457" spans="1:14" x14ac:dyDescent="0.25">
      <c r="A457">
        <v>455</v>
      </c>
      <c r="B457" s="52">
        <v>44126</v>
      </c>
      <c r="C457" s="2">
        <v>16.57</v>
      </c>
      <c r="D457" t="s">
        <v>450</v>
      </c>
      <c r="E457" t="s">
        <v>28</v>
      </c>
      <c r="F457" t="s">
        <v>50</v>
      </c>
      <c r="G457" t="s">
        <v>514</v>
      </c>
      <c r="H457" t="s">
        <v>29</v>
      </c>
      <c r="I457" t="s">
        <v>29</v>
      </c>
      <c r="J457" t="s">
        <v>46</v>
      </c>
      <c r="K457" s="13">
        <v>44206</v>
      </c>
      <c r="L457" t="s">
        <v>330</v>
      </c>
      <c r="M457" t="str">
        <f t="shared" si="16"/>
        <v>October</v>
      </c>
      <c r="N457">
        <f t="shared" si="17"/>
        <v>2020</v>
      </c>
    </row>
    <row r="458" spans="1:14" x14ac:dyDescent="0.25">
      <c r="A458">
        <v>456</v>
      </c>
      <c r="B458" s="52">
        <v>44126</v>
      </c>
      <c r="C458" s="2">
        <v>9.6</v>
      </c>
      <c r="D458" t="s">
        <v>451</v>
      </c>
      <c r="E458" t="s">
        <v>28</v>
      </c>
      <c r="F458" t="s">
        <v>519</v>
      </c>
      <c r="H458" t="s">
        <v>29</v>
      </c>
      <c r="I458" t="s">
        <v>29</v>
      </c>
      <c r="J458" t="s">
        <v>46</v>
      </c>
      <c r="K458" s="13">
        <v>44206</v>
      </c>
      <c r="L458" t="s">
        <v>330</v>
      </c>
      <c r="M458" t="str">
        <f t="shared" si="16"/>
        <v>October</v>
      </c>
      <c r="N458">
        <f t="shared" si="17"/>
        <v>2020</v>
      </c>
    </row>
    <row r="459" spans="1:14" x14ac:dyDescent="0.25">
      <c r="A459">
        <v>457</v>
      </c>
      <c r="B459" s="52">
        <v>44127</v>
      </c>
      <c r="C459" s="2">
        <v>7.09</v>
      </c>
      <c r="D459" t="s">
        <v>452</v>
      </c>
      <c r="E459" t="s">
        <v>28</v>
      </c>
      <c r="F459" t="s">
        <v>50</v>
      </c>
      <c r="H459" t="s">
        <v>29</v>
      </c>
      <c r="I459" t="s">
        <v>29</v>
      </c>
      <c r="J459" t="s">
        <v>46</v>
      </c>
      <c r="K459" s="13">
        <v>44206</v>
      </c>
      <c r="L459" t="s">
        <v>330</v>
      </c>
      <c r="M459" t="str">
        <f t="shared" si="16"/>
        <v>October</v>
      </c>
      <c r="N459">
        <f t="shared" si="17"/>
        <v>2020</v>
      </c>
    </row>
    <row r="460" spans="1:14" x14ac:dyDescent="0.25">
      <c r="A460">
        <v>458</v>
      </c>
      <c r="B460" s="52">
        <v>44129</v>
      </c>
      <c r="C460" s="2">
        <v>14.61</v>
      </c>
      <c r="D460" t="s">
        <v>403</v>
      </c>
      <c r="E460" t="s">
        <v>28</v>
      </c>
      <c r="F460" t="s">
        <v>54</v>
      </c>
      <c r="H460" t="s">
        <v>29</v>
      </c>
      <c r="I460" t="s">
        <v>29</v>
      </c>
      <c r="J460" t="s">
        <v>46</v>
      </c>
      <c r="K460" s="13">
        <v>44206</v>
      </c>
      <c r="L460" t="s">
        <v>330</v>
      </c>
      <c r="M460" t="str">
        <f t="shared" si="16"/>
        <v>October</v>
      </c>
      <c r="N460">
        <f t="shared" si="17"/>
        <v>2020</v>
      </c>
    </row>
    <row r="461" spans="1:14" x14ac:dyDescent="0.25">
      <c r="A461">
        <v>459</v>
      </c>
      <c r="B461" s="52">
        <v>44129</v>
      </c>
      <c r="C461" s="2">
        <v>41.5</v>
      </c>
      <c r="D461" t="s">
        <v>453</v>
      </c>
      <c r="E461" t="s">
        <v>28</v>
      </c>
      <c r="F461" t="s">
        <v>52</v>
      </c>
      <c r="H461" t="s">
        <v>29</v>
      </c>
      <c r="I461" t="s">
        <v>29</v>
      </c>
      <c r="J461" t="s">
        <v>46</v>
      </c>
      <c r="K461" s="13">
        <v>44206</v>
      </c>
      <c r="L461" t="s">
        <v>330</v>
      </c>
      <c r="M461" t="str">
        <f t="shared" si="16"/>
        <v>October</v>
      </c>
      <c r="N461">
        <f t="shared" si="17"/>
        <v>2020</v>
      </c>
    </row>
    <row r="462" spans="1:14" x14ac:dyDescent="0.25">
      <c r="A462">
        <v>460</v>
      </c>
      <c r="B462" s="52">
        <v>44131</v>
      </c>
      <c r="C462" s="2">
        <v>37.700000000000003</v>
      </c>
      <c r="D462" t="s">
        <v>403</v>
      </c>
      <c r="E462" t="s">
        <v>28</v>
      </c>
      <c r="F462" t="s">
        <v>54</v>
      </c>
      <c r="H462" t="s">
        <v>29</v>
      </c>
      <c r="I462" t="s">
        <v>29</v>
      </c>
      <c r="J462" t="s">
        <v>46</v>
      </c>
      <c r="K462" s="13">
        <v>44206</v>
      </c>
      <c r="L462" t="s">
        <v>330</v>
      </c>
      <c r="M462" t="str">
        <f t="shared" si="16"/>
        <v>October</v>
      </c>
      <c r="N462">
        <f t="shared" si="17"/>
        <v>2020</v>
      </c>
    </row>
    <row r="463" spans="1:14" x14ac:dyDescent="0.25">
      <c r="A463">
        <v>461</v>
      </c>
      <c r="B463" s="52">
        <v>44132</v>
      </c>
      <c r="C463" s="2">
        <v>18</v>
      </c>
      <c r="D463" t="s">
        <v>454</v>
      </c>
      <c r="E463" t="s">
        <v>28</v>
      </c>
      <c r="F463" t="s">
        <v>522</v>
      </c>
      <c r="H463" t="s">
        <v>29</v>
      </c>
      <c r="I463" t="s">
        <v>29</v>
      </c>
      <c r="J463" t="s">
        <v>46</v>
      </c>
      <c r="K463" s="13">
        <v>44206</v>
      </c>
      <c r="L463" t="s">
        <v>330</v>
      </c>
      <c r="M463" t="str">
        <f t="shared" si="16"/>
        <v>October</v>
      </c>
      <c r="N463">
        <f t="shared" si="17"/>
        <v>2020</v>
      </c>
    </row>
    <row r="464" spans="1:14" x14ac:dyDescent="0.25">
      <c r="A464">
        <v>462</v>
      </c>
      <c r="B464" s="52">
        <v>44134</v>
      </c>
      <c r="C464" s="2">
        <v>33.08</v>
      </c>
      <c r="D464" t="s">
        <v>455</v>
      </c>
      <c r="E464" t="s">
        <v>28</v>
      </c>
      <c r="F464" t="s">
        <v>50</v>
      </c>
      <c r="H464" t="s">
        <v>29</v>
      </c>
      <c r="I464" t="s">
        <v>29</v>
      </c>
      <c r="J464" t="s">
        <v>46</v>
      </c>
      <c r="K464" s="13">
        <v>44206</v>
      </c>
      <c r="L464" t="s">
        <v>330</v>
      </c>
      <c r="M464" t="str">
        <f t="shared" si="16"/>
        <v>October</v>
      </c>
      <c r="N464">
        <f t="shared" si="17"/>
        <v>2020</v>
      </c>
    </row>
    <row r="465" spans="1:14" x14ac:dyDescent="0.25">
      <c r="A465">
        <v>463</v>
      </c>
      <c r="B465" s="52">
        <v>44135</v>
      </c>
      <c r="C465" s="2">
        <v>30.09</v>
      </c>
      <c r="D465" t="s">
        <v>456</v>
      </c>
      <c r="E465" t="s">
        <v>28</v>
      </c>
      <c r="F465" t="s">
        <v>50</v>
      </c>
      <c r="H465" t="s">
        <v>29</v>
      </c>
      <c r="I465" t="s">
        <v>29</v>
      </c>
      <c r="J465" t="s">
        <v>46</v>
      </c>
      <c r="K465" s="13">
        <v>44206</v>
      </c>
      <c r="L465" t="s">
        <v>330</v>
      </c>
      <c r="M465" t="str">
        <f t="shared" si="16"/>
        <v>October</v>
      </c>
      <c r="N465">
        <f t="shared" si="17"/>
        <v>2020</v>
      </c>
    </row>
    <row r="466" spans="1:14" x14ac:dyDescent="0.25">
      <c r="A466">
        <v>464</v>
      </c>
      <c r="B466" s="52">
        <v>44135</v>
      </c>
      <c r="C466" s="2">
        <v>15.89</v>
      </c>
      <c r="D466" t="s">
        <v>457</v>
      </c>
      <c r="E466" t="s">
        <v>28</v>
      </c>
      <c r="F466" t="s">
        <v>522</v>
      </c>
      <c r="H466" t="s">
        <v>29</v>
      </c>
      <c r="I466" t="s">
        <v>29</v>
      </c>
      <c r="J466" t="s">
        <v>46</v>
      </c>
      <c r="K466" s="13">
        <v>44206</v>
      </c>
      <c r="L466" t="s">
        <v>330</v>
      </c>
      <c r="M466" t="str">
        <f t="shared" si="16"/>
        <v>October</v>
      </c>
      <c r="N466">
        <f t="shared" si="17"/>
        <v>2020</v>
      </c>
    </row>
    <row r="467" spans="1:14" x14ac:dyDescent="0.25">
      <c r="A467">
        <v>465</v>
      </c>
      <c r="B467" s="52">
        <v>44135</v>
      </c>
      <c r="C467" s="2">
        <v>16.96</v>
      </c>
      <c r="D467" t="s">
        <v>458</v>
      </c>
      <c r="E467" t="s">
        <v>28</v>
      </c>
      <c r="F467" t="s">
        <v>522</v>
      </c>
      <c r="H467" t="s">
        <v>29</v>
      </c>
      <c r="I467" t="s">
        <v>29</v>
      </c>
      <c r="J467" t="s">
        <v>46</v>
      </c>
      <c r="K467" s="13">
        <v>44206</v>
      </c>
      <c r="L467" t="s">
        <v>330</v>
      </c>
      <c r="M467" t="str">
        <f t="shared" si="16"/>
        <v>October</v>
      </c>
      <c r="N467">
        <f t="shared" si="17"/>
        <v>2020</v>
      </c>
    </row>
    <row r="468" spans="1:14" x14ac:dyDescent="0.25">
      <c r="A468">
        <v>466</v>
      </c>
      <c r="B468" s="52">
        <v>44137</v>
      </c>
      <c r="C468" s="2">
        <v>84.74</v>
      </c>
      <c r="D468" t="s">
        <v>459</v>
      </c>
      <c r="E468" t="s">
        <v>28</v>
      </c>
      <c r="F468" t="s">
        <v>50</v>
      </c>
      <c r="H468" t="s">
        <v>29</v>
      </c>
      <c r="I468" t="s">
        <v>29</v>
      </c>
      <c r="J468" t="s">
        <v>46</v>
      </c>
      <c r="K468" s="13">
        <v>44206</v>
      </c>
      <c r="L468" t="s">
        <v>330</v>
      </c>
      <c r="M468" t="str">
        <f t="shared" si="16"/>
        <v>November</v>
      </c>
      <c r="N468">
        <f t="shared" si="17"/>
        <v>2020</v>
      </c>
    </row>
    <row r="469" spans="1:14" x14ac:dyDescent="0.25">
      <c r="A469">
        <v>467</v>
      </c>
      <c r="B469" s="52">
        <v>44139</v>
      </c>
      <c r="C469" s="2">
        <v>51.86</v>
      </c>
      <c r="D469" t="s">
        <v>434</v>
      </c>
      <c r="E469" t="s">
        <v>28</v>
      </c>
      <c r="F469" t="s">
        <v>33</v>
      </c>
      <c r="H469" t="s">
        <v>29</v>
      </c>
      <c r="I469" t="s">
        <v>29</v>
      </c>
      <c r="J469" t="s">
        <v>46</v>
      </c>
      <c r="K469" s="13">
        <v>44206</v>
      </c>
      <c r="L469" t="s">
        <v>330</v>
      </c>
      <c r="M469" t="str">
        <f t="shared" si="16"/>
        <v>November</v>
      </c>
      <c r="N469">
        <f t="shared" si="17"/>
        <v>2020</v>
      </c>
    </row>
    <row r="470" spans="1:14" x14ac:dyDescent="0.25">
      <c r="A470">
        <v>468</v>
      </c>
      <c r="B470" s="52">
        <v>44141</v>
      </c>
      <c r="C470" s="2">
        <v>49.68</v>
      </c>
      <c r="D470" t="s">
        <v>460</v>
      </c>
      <c r="E470" t="s">
        <v>28</v>
      </c>
      <c r="F470" t="s">
        <v>50</v>
      </c>
      <c r="H470" t="s">
        <v>29</v>
      </c>
      <c r="I470" t="s">
        <v>29</v>
      </c>
      <c r="J470" t="s">
        <v>46</v>
      </c>
      <c r="K470" s="13">
        <v>44206</v>
      </c>
      <c r="L470" t="s">
        <v>330</v>
      </c>
      <c r="M470" t="str">
        <f t="shared" si="16"/>
        <v>November</v>
      </c>
      <c r="N470">
        <f t="shared" si="17"/>
        <v>2020</v>
      </c>
    </row>
    <row r="471" spans="1:14" x14ac:dyDescent="0.25">
      <c r="A471">
        <v>469</v>
      </c>
      <c r="B471" s="52">
        <v>44141</v>
      </c>
      <c r="C471" s="2">
        <v>47.17</v>
      </c>
      <c r="D471" t="s">
        <v>449</v>
      </c>
      <c r="E471" t="s">
        <v>28</v>
      </c>
      <c r="F471" t="s">
        <v>32</v>
      </c>
      <c r="G471" t="s">
        <v>513</v>
      </c>
      <c r="H471" t="s">
        <v>29</v>
      </c>
      <c r="I471" t="s">
        <v>29</v>
      </c>
      <c r="J471" t="s">
        <v>46</v>
      </c>
      <c r="K471" s="13">
        <v>44206</v>
      </c>
      <c r="L471" t="s">
        <v>330</v>
      </c>
      <c r="M471" t="str">
        <f t="shared" si="16"/>
        <v>November</v>
      </c>
      <c r="N471">
        <f t="shared" si="17"/>
        <v>2020</v>
      </c>
    </row>
    <row r="472" spans="1:14" x14ac:dyDescent="0.25">
      <c r="A472">
        <v>470</v>
      </c>
      <c r="B472" s="52">
        <v>44142</v>
      </c>
      <c r="C472" s="2">
        <v>11.42</v>
      </c>
      <c r="D472" t="s">
        <v>461</v>
      </c>
      <c r="E472" t="s">
        <v>28</v>
      </c>
      <c r="F472" t="s">
        <v>51</v>
      </c>
      <c r="H472" t="s">
        <v>29</v>
      </c>
      <c r="I472" t="s">
        <v>29</v>
      </c>
      <c r="J472" t="s">
        <v>46</v>
      </c>
      <c r="K472" s="13">
        <v>44206</v>
      </c>
      <c r="L472" t="s">
        <v>330</v>
      </c>
      <c r="M472" t="str">
        <f t="shared" si="16"/>
        <v>November</v>
      </c>
      <c r="N472">
        <f t="shared" si="17"/>
        <v>2020</v>
      </c>
    </row>
    <row r="473" spans="1:14" x14ac:dyDescent="0.25">
      <c r="A473">
        <v>471</v>
      </c>
      <c r="B473" s="52">
        <v>44143</v>
      </c>
      <c r="C473" s="2">
        <v>2.59</v>
      </c>
      <c r="D473" t="s">
        <v>462</v>
      </c>
      <c r="E473" t="s">
        <v>28</v>
      </c>
      <c r="F473" t="s">
        <v>53</v>
      </c>
      <c r="H473" t="s">
        <v>29</v>
      </c>
      <c r="I473" t="s">
        <v>29</v>
      </c>
      <c r="J473" t="s">
        <v>46</v>
      </c>
      <c r="K473" s="13">
        <v>44206</v>
      </c>
      <c r="L473" t="s">
        <v>330</v>
      </c>
      <c r="M473" t="str">
        <f t="shared" si="16"/>
        <v>November</v>
      </c>
      <c r="N473">
        <f t="shared" si="17"/>
        <v>2020</v>
      </c>
    </row>
    <row r="474" spans="1:14" x14ac:dyDescent="0.25">
      <c r="A474">
        <v>472</v>
      </c>
      <c r="B474" s="52">
        <v>44145</v>
      </c>
      <c r="C474" s="2">
        <v>846.94</v>
      </c>
      <c r="D474" t="s">
        <v>463</v>
      </c>
      <c r="E474" t="s">
        <v>28</v>
      </c>
      <c r="F474" t="s">
        <v>522</v>
      </c>
      <c r="H474" t="s">
        <v>29</v>
      </c>
      <c r="I474" t="s">
        <v>29</v>
      </c>
      <c r="J474" t="s">
        <v>46</v>
      </c>
      <c r="K474" s="13">
        <v>44206</v>
      </c>
      <c r="L474" t="s">
        <v>330</v>
      </c>
      <c r="M474" t="str">
        <f t="shared" si="16"/>
        <v>November</v>
      </c>
      <c r="N474">
        <f t="shared" si="17"/>
        <v>2020</v>
      </c>
    </row>
    <row r="475" spans="1:14" x14ac:dyDescent="0.25">
      <c r="A475">
        <v>473</v>
      </c>
      <c r="B475" s="52">
        <v>44146</v>
      </c>
      <c r="C475" s="2">
        <v>15</v>
      </c>
      <c r="D475" t="s">
        <v>464</v>
      </c>
      <c r="E475" t="s">
        <v>28</v>
      </c>
      <c r="F475" t="s">
        <v>520</v>
      </c>
      <c r="H475" t="s">
        <v>29</v>
      </c>
      <c r="I475" t="s">
        <v>29</v>
      </c>
      <c r="J475" t="s">
        <v>46</v>
      </c>
      <c r="K475" s="13">
        <v>44206</v>
      </c>
      <c r="L475" t="s">
        <v>330</v>
      </c>
      <c r="M475" t="str">
        <f t="shared" si="16"/>
        <v>November</v>
      </c>
      <c r="N475">
        <f t="shared" si="17"/>
        <v>2020</v>
      </c>
    </row>
    <row r="476" spans="1:14" x14ac:dyDescent="0.25">
      <c r="A476">
        <v>474</v>
      </c>
      <c r="B476" s="52">
        <v>44146</v>
      </c>
      <c r="C476" s="2">
        <v>22.99</v>
      </c>
      <c r="D476" t="s">
        <v>455</v>
      </c>
      <c r="E476" t="s">
        <v>28</v>
      </c>
      <c r="F476" t="s">
        <v>52</v>
      </c>
      <c r="H476" t="s">
        <v>29</v>
      </c>
      <c r="I476" t="s">
        <v>29</v>
      </c>
      <c r="J476" t="s">
        <v>46</v>
      </c>
      <c r="K476" s="13">
        <v>44206</v>
      </c>
      <c r="L476" t="s">
        <v>330</v>
      </c>
      <c r="M476" t="str">
        <f t="shared" si="16"/>
        <v>November</v>
      </c>
      <c r="N476">
        <f t="shared" si="17"/>
        <v>2020</v>
      </c>
    </row>
    <row r="477" spans="1:14" x14ac:dyDescent="0.25">
      <c r="A477">
        <v>475</v>
      </c>
      <c r="B477" s="52">
        <v>44148</v>
      </c>
      <c r="C477" s="2">
        <v>10.96</v>
      </c>
      <c r="D477" t="s">
        <v>465</v>
      </c>
      <c r="E477" t="s">
        <v>28</v>
      </c>
      <c r="F477" t="s">
        <v>50</v>
      </c>
      <c r="H477" t="s">
        <v>29</v>
      </c>
      <c r="I477" t="s">
        <v>29</v>
      </c>
      <c r="J477" t="s">
        <v>46</v>
      </c>
      <c r="K477" s="13">
        <v>44206</v>
      </c>
      <c r="L477" t="s">
        <v>330</v>
      </c>
      <c r="M477" t="str">
        <f t="shared" si="16"/>
        <v>November</v>
      </c>
      <c r="N477">
        <f t="shared" si="17"/>
        <v>2020</v>
      </c>
    </row>
    <row r="478" spans="1:14" x14ac:dyDescent="0.25">
      <c r="A478">
        <v>476</v>
      </c>
      <c r="B478" s="52">
        <v>44148</v>
      </c>
      <c r="C478" s="2">
        <v>4.18</v>
      </c>
      <c r="D478" t="s">
        <v>466</v>
      </c>
      <c r="E478" t="s">
        <v>28</v>
      </c>
      <c r="F478" t="s">
        <v>53</v>
      </c>
      <c r="H478" t="s">
        <v>29</v>
      </c>
      <c r="I478" t="s">
        <v>29</v>
      </c>
      <c r="J478" t="s">
        <v>46</v>
      </c>
      <c r="K478" s="13">
        <v>44206</v>
      </c>
      <c r="L478" t="s">
        <v>330</v>
      </c>
      <c r="M478" t="str">
        <f t="shared" si="16"/>
        <v>November</v>
      </c>
      <c r="N478">
        <f t="shared" si="17"/>
        <v>2020</v>
      </c>
    </row>
    <row r="479" spans="1:14" x14ac:dyDescent="0.25">
      <c r="A479">
        <v>477</v>
      </c>
      <c r="B479" s="52">
        <v>44148</v>
      </c>
      <c r="C479" s="2">
        <v>20.37</v>
      </c>
      <c r="D479" t="s">
        <v>455</v>
      </c>
      <c r="E479" t="s">
        <v>28</v>
      </c>
      <c r="F479" t="s">
        <v>52</v>
      </c>
      <c r="H479" t="s">
        <v>29</v>
      </c>
      <c r="I479" t="s">
        <v>29</v>
      </c>
      <c r="J479" t="s">
        <v>46</v>
      </c>
      <c r="K479" s="13">
        <v>44206</v>
      </c>
      <c r="L479" t="s">
        <v>330</v>
      </c>
      <c r="M479" t="str">
        <f t="shared" si="16"/>
        <v>November</v>
      </c>
      <c r="N479">
        <f t="shared" si="17"/>
        <v>2020</v>
      </c>
    </row>
    <row r="480" spans="1:14" x14ac:dyDescent="0.25">
      <c r="A480">
        <v>478</v>
      </c>
      <c r="B480" s="52">
        <v>44148</v>
      </c>
      <c r="C480" s="2">
        <v>79.91</v>
      </c>
      <c r="D480" t="s">
        <v>467</v>
      </c>
      <c r="E480" t="s">
        <v>28</v>
      </c>
      <c r="F480" t="s">
        <v>50</v>
      </c>
      <c r="H480" t="s">
        <v>29</v>
      </c>
      <c r="I480" t="s">
        <v>29</v>
      </c>
      <c r="J480" t="s">
        <v>46</v>
      </c>
      <c r="K480" s="13">
        <v>44206</v>
      </c>
      <c r="L480" t="s">
        <v>330</v>
      </c>
      <c r="M480" t="str">
        <f t="shared" si="16"/>
        <v>November</v>
      </c>
      <c r="N480">
        <f t="shared" si="17"/>
        <v>2020</v>
      </c>
    </row>
    <row r="481" spans="1:14" x14ac:dyDescent="0.25">
      <c r="A481">
        <v>479</v>
      </c>
      <c r="B481" s="52">
        <v>44148</v>
      </c>
      <c r="C481" s="2">
        <v>14.83</v>
      </c>
      <c r="D481" t="s">
        <v>396</v>
      </c>
      <c r="E481" t="s">
        <v>28</v>
      </c>
      <c r="F481" t="s">
        <v>33</v>
      </c>
      <c r="H481" t="s">
        <v>29</v>
      </c>
      <c r="I481" t="s">
        <v>29</v>
      </c>
      <c r="J481" t="s">
        <v>46</v>
      </c>
      <c r="K481" s="13">
        <v>44206</v>
      </c>
      <c r="L481" t="s">
        <v>330</v>
      </c>
      <c r="M481" t="str">
        <f t="shared" si="16"/>
        <v>November</v>
      </c>
      <c r="N481">
        <f t="shared" si="17"/>
        <v>2020</v>
      </c>
    </row>
    <row r="482" spans="1:14" x14ac:dyDescent="0.25">
      <c r="A482">
        <v>480</v>
      </c>
      <c r="B482" s="52">
        <v>44149</v>
      </c>
      <c r="C482" s="2">
        <v>5.7</v>
      </c>
      <c r="D482" t="s">
        <v>468</v>
      </c>
      <c r="E482" t="s">
        <v>28</v>
      </c>
      <c r="F482" t="s">
        <v>50</v>
      </c>
      <c r="H482" t="s">
        <v>29</v>
      </c>
      <c r="I482" t="s">
        <v>29</v>
      </c>
      <c r="J482" t="s">
        <v>46</v>
      </c>
      <c r="K482" s="13">
        <v>44206</v>
      </c>
      <c r="L482" t="s">
        <v>330</v>
      </c>
      <c r="M482" t="str">
        <f t="shared" si="16"/>
        <v>November</v>
      </c>
      <c r="N482">
        <f t="shared" si="17"/>
        <v>2020</v>
      </c>
    </row>
    <row r="483" spans="1:14" x14ac:dyDescent="0.25">
      <c r="A483">
        <v>481</v>
      </c>
      <c r="B483" s="52">
        <v>44150</v>
      </c>
      <c r="C483" s="2">
        <v>28.96</v>
      </c>
      <c r="D483" t="s">
        <v>469</v>
      </c>
      <c r="E483" t="s">
        <v>28</v>
      </c>
      <c r="F483" t="s">
        <v>50</v>
      </c>
      <c r="H483" t="s">
        <v>29</v>
      </c>
      <c r="I483" t="s">
        <v>29</v>
      </c>
      <c r="J483" t="s">
        <v>46</v>
      </c>
      <c r="K483" s="13">
        <v>44206</v>
      </c>
      <c r="L483" t="s">
        <v>330</v>
      </c>
      <c r="M483" t="str">
        <f t="shared" si="16"/>
        <v>November</v>
      </c>
      <c r="N483">
        <f t="shared" si="17"/>
        <v>2020</v>
      </c>
    </row>
    <row r="484" spans="1:14" x14ac:dyDescent="0.25">
      <c r="A484">
        <v>482</v>
      </c>
      <c r="B484" s="52">
        <v>44150</v>
      </c>
      <c r="C484" s="2">
        <v>109.25</v>
      </c>
      <c r="D484" t="s">
        <v>355</v>
      </c>
      <c r="E484" t="s">
        <v>28</v>
      </c>
      <c r="F484" t="s">
        <v>519</v>
      </c>
      <c r="H484" t="s">
        <v>29</v>
      </c>
      <c r="I484" t="s">
        <v>29</v>
      </c>
      <c r="J484" t="s">
        <v>46</v>
      </c>
      <c r="K484" s="13">
        <v>44206</v>
      </c>
      <c r="L484" t="s">
        <v>330</v>
      </c>
      <c r="M484" t="str">
        <f t="shared" si="16"/>
        <v>November</v>
      </c>
      <c r="N484">
        <f t="shared" si="17"/>
        <v>2020</v>
      </c>
    </row>
    <row r="485" spans="1:14" x14ac:dyDescent="0.25">
      <c r="A485">
        <v>483</v>
      </c>
      <c r="B485" s="52">
        <v>44151</v>
      </c>
      <c r="C485" s="2">
        <v>58.28</v>
      </c>
      <c r="D485" t="s">
        <v>470</v>
      </c>
      <c r="E485" t="s">
        <v>28</v>
      </c>
      <c r="F485" t="s">
        <v>52</v>
      </c>
      <c r="H485" t="s">
        <v>29</v>
      </c>
      <c r="I485" t="s">
        <v>29</v>
      </c>
      <c r="J485" t="s">
        <v>46</v>
      </c>
      <c r="K485" s="13">
        <v>44206</v>
      </c>
      <c r="L485" t="s">
        <v>330</v>
      </c>
      <c r="M485" t="str">
        <f t="shared" si="16"/>
        <v>November</v>
      </c>
      <c r="N485">
        <f t="shared" si="17"/>
        <v>2020</v>
      </c>
    </row>
    <row r="486" spans="1:14" x14ac:dyDescent="0.25">
      <c r="A486">
        <v>484</v>
      </c>
      <c r="B486" s="52">
        <v>44152</v>
      </c>
      <c r="C486" s="2">
        <v>58.33</v>
      </c>
      <c r="D486" t="s">
        <v>471</v>
      </c>
      <c r="E486" t="s">
        <v>28</v>
      </c>
      <c r="F486" t="s">
        <v>54</v>
      </c>
      <c r="H486" t="s">
        <v>29</v>
      </c>
      <c r="I486" t="s">
        <v>29</v>
      </c>
      <c r="J486" t="s">
        <v>46</v>
      </c>
      <c r="K486" s="13">
        <v>44206</v>
      </c>
      <c r="L486" t="s">
        <v>330</v>
      </c>
      <c r="M486" t="str">
        <f t="shared" si="16"/>
        <v>November</v>
      </c>
      <c r="N486">
        <f t="shared" si="17"/>
        <v>2020</v>
      </c>
    </row>
    <row r="487" spans="1:14" x14ac:dyDescent="0.25">
      <c r="A487">
        <v>485</v>
      </c>
      <c r="B487" s="52">
        <v>44156</v>
      </c>
      <c r="C487" s="2">
        <v>15.52</v>
      </c>
      <c r="D487" t="s">
        <v>472</v>
      </c>
      <c r="E487" t="s">
        <v>28</v>
      </c>
      <c r="F487" t="s">
        <v>50</v>
      </c>
      <c r="G487" t="s">
        <v>517</v>
      </c>
      <c r="H487" t="s">
        <v>29</v>
      </c>
      <c r="I487" t="s">
        <v>29</v>
      </c>
      <c r="J487" t="s">
        <v>46</v>
      </c>
      <c r="K487" s="13">
        <v>44206</v>
      </c>
      <c r="L487" t="s">
        <v>330</v>
      </c>
      <c r="M487" t="str">
        <f t="shared" si="16"/>
        <v>November</v>
      </c>
      <c r="N487">
        <f t="shared" si="17"/>
        <v>2020</v>
      </c>
    </row>
    <row r="488" spans="1:14" x14ac:dyDescent="0.25">
      <c r="A488">
        <v>486</v>
      </c>
      <c r="B488" s="52">
        <v>44156</v>
      </c>
      <c r="C488" s="2">
        <v>15.02</v>
      </c>
      <c r="D488" t="s">
        <v>473</v>
      </c>
      <c r="E488" t="s">
        <v>28</v>
      </c>
      <c r="F488" t="s">
        <v>50</v>
      </c>
      <c r="G488" t="s">
        <v>514</v>
      </c>
      <c r="H488" t="s">
        <v>29</v>
      </c>
      <c r="I488" t="s">
        <v>29</v>
      </c>
      <c r="J488" t="s">
        <v>46</v>
      </c>
      <c r="K488" s="13">
        <v>44206</v>
      </c>
      <c r="L488" t="s">
        <v>330</v>
      </c>
      <c r="M488" t="str">
        <f t="shared" si="16"/>
        <v>November</v>
      </c>
      <c r="N488">
        <f t="shared" si="17"/>
        <v>2020</v>
      </c>
    </row>
    <row r="489" spans="1:14" x14ac:dyDescent="0.25">
      <c r="A489">
        <v>487</v>
      </c>
      <c r="B489" s="52">
        <v>44158</v>
      </c>
      <c r="C489" s="2">
        <v>68.900000000000006</v>
      </c>
      <c r="D489" t="s">
        <v>417</v>
      </c>
      <c r="E489" t="s">
        <v>28</v>
      </c>
      <c r="F489" t="s">
        <v>54</v>
      </c>
      <c r="H489" t="s">
        <v>29</v>
      </c>
      <c r="I489" t="s">
        <v>29</v>
      </c>
      <c r="J489" t="s">
        <v>46</v>
      </c>
      <c r="K489" s="13">
        <v>44206</v>
      </c>
      <c r="L489" t="s">
        <v>330</v>
      </c>
      <c r="M489" t="str">
        <f t="shared" si="16"/>
        <v>November</v>
      </c>
      <c r="N489">
        <f t="shared" si="17"/>
        <v>2020</v>
      </c>
    </row>
    <row r="490" spans="1:14" x14ac:dyDescent="0.25">
      <c r="A490">
        <v>488</v>
      </c>
      <c r="B490" s="52">
        <v>44158</v>
      </c>
      <c r="C490" s="2">
        <v>33.9</v>
      </c>
      <c r="D490" t="s">
        <v>474</v>
      </c>
      <c r="E490" t="s">
        <v>28</v>
      </c>
      <c r="F490" t="s">
        <v>55</v>
      </c>
      <c r="H490" t="s">
        <v>29</v>
      </c>
      <c r="I490" t="s">
        <v>29</v>
      </c>
      <c r="J490" t="s">
        <v>46</v>
      </c>
      <c r="K490" s="13">
        <v>44206</v>
      </c>
      <c r="L490" t="s">
        <v>330</v>
      </c>
      <c r="M490" t="str">
        <f t="shared" si="16"/>
        <v>November</v>
      </c>
      <c r="N490">
        <f t="shared" si="17"/>
        <v>2020</v>
      </c>
    </row>
    <row r="491" spans="1:14" x14ac:dyDescent="0.25">
      <c r="A491">
        <v>489</v>
      </c>
      <c r="B491" s="52">
        <v>44160</v>
      </c>
      <c r="C491" s="2">
        <v>44.91</v>
      </c>
      <c r="D491" t="s">
        <v>475</v>
      </c>
      <c r="E491" t="s">
        <v>28</v>
      </c>
      <c r="F491" t="s">
        <v>35</v>
      </c>
      <c r="H491" t="s">
        <v>29</v>
      </c>
      <c r="I491" t="s">
        <v>29</v>
      </c>
      <c r="J491" t="s">
        <v>46</v>
      </c>
      <c r="K491" s="13">
        <v>44206</v>
      </c>
      <c r="L491" t="s">
        <v>330</v>
      </c>
      <c r="M491" t="str">
        <f t="shared" si="16"/>
        <v>November</v>
      </c>
      <c r="N491">
        <f t="shared" si="17"/>
        <v>2020</v>
      </c>
    </row>
    <row r="492" spans="1:14" x14ac:dyDescent="0.25">
      <c r="A492">
        <v>490</v>
      </c>
      <c r="B492" s="52">
        <v>44160</v>
      </c>
      <c r="C492" s="2">
        <v>24.91</v>
      </c>
      <c r="D492" t="s">
        <v>476</v>
      </c>
      <c r="E492" t="s">
        <v>28</v>
      </c>
      <c r="F492" t="s">
        <v>519</v>
      </c>
      <c r="H492" t="s">
        <v>29</v>
      </c>
      <c r="I492" t="s">
        <v>29</v>
      </c>
      <c r="J492" t="s">
        <v>46</v>
      </c>
      <c r="K492" s="13">
        <v>44206</v>
      </c>
      <c r="L492" t="s">
        <v>330</v>
      </c>
      <c r="M492" t="str">
        <f t="shared" si="16"/>
        <v>November</v>
      </c>
      <c r="N492">
        <f t="shared" si="17"/>
        <v>2020</v>
      </c>
    </row>
    <row r="493" spans="1:14" x14ac:dyDescent="0.25">
      <c r="A493">
        <v>491</v>
      </c>
      <c r="B493" s="52">
        <v>44160</v>
      </c>
      <c r="C493" s="2">
        <v>80.03</v>
      </c>
      <c r="D493" t="s">
        <v>476</v>
      </c>
      <c r="E493" t="s">
        <v>28</v>
      </c>
      <c r="F493" t="s">
        <v>52</v>
      </c>
      <c r="H493" t="s">
        <v>29</v>
      </c>
      <c r="I493" t="s">
        <v>29</v>
      </c>
      <c r="J493" t="s">
        <v>46</v>
      </c>
      <c r="K493" s="13">
        <v>44206</v>
      </c>
      <c r="L493" t="s">
        <v>330</v>
      </c>
      <c r="M493" t="str">
        <f t="shared" si="16"/>
        <v>November</v>
      </c>
      <c r="N493">
        <f t="shared" si="17"/>
        <v>2020</v>
      </c>
    </row>
    <row r="494" spans="1:14" x14ac:dyDescent="0.25">
      <c r="A494">
        <v>492</v>
      </c>
      <c r="B494" s="52">
        <v>44160</v>
      </c>
      <c r="C494" s="2">
        <v>53.59</v>
      </c>
      <c r="D494" t="s">
        <v>477</v>
      </c>
      <c r="E494" t="s">
        <v>28</v>
      </c>
      <c r="F494" t="s">
        <v>522</v>
      </c>
      <c r="H494" t="s">
        <v>29</v>
      </c>
      <c r="I494" t="s">
        <v>29</v>
      </c>
      <c r="J494" t="s">
        <v>46</v>
      </c>
      <c r="K494" s="13">
        <v>44206</v>
      </c>
      <c r="L494" t="s">
        <v>330</v>
      </c>
      <c r="M494" t="str">
        <f t="shared" si="16"/>
        <v>November</v>
      </c>
      <c r="N494">
        <f t="shared" si="17"/>
        <v>2020</v>
      </c>
    </row>
    <row r="495" spans="1:14" x14ac:dyDescent="0.25">
      <c r="A495">
        <v>493</v>
      </c>
      <c r="B495" s="52">
        <v>44161</v>
      </c>
      <c r="C495" s="2">
        <v>31.79</v>
      </c>
      <c r="D495" t="s">
        <v>478</v>
      </c>
      <c r="E495" t="s">
        <v>28</v>
      </c>
      <c r="F495" t="s">
        <v>32</v>
      </c>
      <c r="H495" t="s">
        <v>29</v>
      </c>
      <c r="I495" t="s">
        <v>29</v>
      </c>
      <c r="J495" t="s">
        <v>46</v>
      </c>
      <c r="K495" s="13">
        <v>44206</v>
      </c>
      <c r="L495" t="s">
        <v>330</v>
      </c>
      <c r="M495" t="str">
        <f t="shared" si="16"/>
        <v>November</v>
      </c>
      <c r="N495">
        <f t="shared" si="17"/>
        <v>2020</v>
      </c>
    </row>
    <row r="496" spans="1:14" x14ac:dyDescent="0.25">
      <c r="A496">
        <v>494</v>
      </c>
      <c r="B496" s="52">
        <v>44162</v>
      </c>
      <c r="C496" s="2">
        <v>36</v>
      </c>
      <c r="D496" t="s">
        <v>479</v>
      </c>
      <c r="E496" t="s">
        <v>28</v>
      </c>
      <c r="F496" t="s">
        <v>52</v>
      </c>
      <c r="H496" t="s">
        <v>29</v>
      </c>
      <c r="I496" t="s">
        <v>29</v>
      </c>
      <c r="J496" t="s">
        <v>46</v>
      </c>
      <c r="K496" s="13">
        <v>44206</v>
      </c>
      <c r="L496" t="s">
        <v>330</v>
      </c>
      <c r="M496" t="str">
        <f t="shared" si="16"/>
        <v>November</v>
      </c>
      <c r="N496">
        <f t="shared" si="17"/>
        <v>2020</v>
      </c>
    </row>
    <row r="497" spans="1:14" x14ac:dyDescent="0.25">
      <c r="A497">
        <v>495</v>
      </c>
      <c r="B497" s="52">
        <v>44162</v>
      </c>
      <c r="C497" s="2">
        <v>22.25</v>
      </c>
      <c r="D497" t="s">
        <v>480</v>
      </c>
      <c r="E497" t="s">
        <v>28</v>
      </c>
      <c r="F497" t="s">
        <v>52</v>
      </c>
      <c r="H497" t="s">
        <v>29</v>
      </c>
      <c r="I497" t="s">
        <v>29</v>
      </c>
      <c r="J497" t="s">
        <v>46</v>
      </c>
      <c r="K497" s="13">
        <v>44206</v>
      </c>
      <c r="L497" t="s">
        <v>330</v>
      </c>
      <c r="M497" t="str">
        <f t="shared" si="16"/>
        <v>November</v>
      </c>
      <c r="N497">
        <f t="shared" si="17"/>
        <v>2020</v>
      </c>
    </row>
    <row r="498" spans="1:14" x14ac:dyDescent="0.25">
      <c r="A498">
        <v>496</v>
      </c>
      <c r="B498" s="52">
        <v>44162</v>
      </c>
      <c r="C498" s="2">
        <v>127.47</v>
      </c>
      <c r="D498" t="s">
        <v>481</v>
      </c>
      <c r="E498" t="s">
        <v>28</v>
      </c>
      <c r="F498" t="s">
        <v>52</v>
      </c>
      <c r="H498" t="s">
        <v>29</v>
      </c>
      <c r="I498" t="s">
        <v>29</v>
      </c>
      <c r="J498" t="s">
        <v>46</v>
      </c>
      <c r="K498" s="13">
        <v>44206</v>
      </c>
      <c r="L498" t="s">
        <v>330</v>
      </c>
      <c r="M498" t="str">
        <f t="shared" si="16"/>
        <v>November</v>
      </c>
      <c r="N498">
        <f t="shared" si="17"/>
        <v>2020</v>
      </c>
    </row>
    <row r="499" spans="1:14" x14ac:dyDescent="0.25">
      <c r="A499">
        <v>497</v>
      </c>
      <c r="B499" s="52">
        <v>44163</v>
      </c>
      <c r="C499" s="2">
        <v>1.96</v>
      </c>
      <c r="D499" t="s">
        <v>482</v>
      </c>
      <c r="E499" t="s">
        <v>28</v>
      </c>
      <c r="F499" t="s">
        <v>50</v>
      </c>
      <c r="H499" t="s">
        <v>29</v>
      </c>
      <c r="I499" t="s">
        <v>29</v>
      </c>
      <c r="J499" t="s">
        <v>46</v>
      </c>
      <c r="K499" s="13">
        <v>44206</v>
      </c>
      <c r="L499" t="s">
        <v>330</v>
      </c>
      <c r="M499" t="str">
        <f t="shared" si="16"/>
        <v>November</v>
      </c>
      <c r="N499">
        <f t="shared" si="17"/>
        <v>2020</v>
      </c>
    </row>
    <row r="500" spans="1:14" x14ac:dyDescent="0.25">
      <c r="A500">
        <v>498</v>
      </c>
      <c r="B500" s="52">
        <v>44165</v>
      </c>
      <c r="C500" s="2">
        <v>55.07</v>
      </c>
      <c r="D500" t="s">
        <v>483</v>
      </c>
      <c r="E500" t="s">
        <v>28</v>
      </c>
      <c r="F500" t="s">
        <v>52</v>
      </c>
      <c r="H500" t="s">
        <v>29</v>
      </c>
      <c r="I500" t="s">
        <v>29</v>
      </c>
      <c r="J500" t="s">
        <v>46</v>
      </c>
      <c r="K500" s="13">
        <v>44206</v>
      </c>
      <c r="L500" t="s">
        <v>330</v>
      </c>
      <c r="M500" t="str">
        <f t="shared" si="16"/>
        <v>November</v>
      </c>
      <c r="N500">
        <f t="shared" si="17"/>
        <v>2020</v>
      </c>
    </row>
    <row r="501" spans="1:14" x14ac:dyDescent="0.25">
      <c r="A501">
        <v>499</v>
      </c>
      <c r="B501" s="52">
        <v>44166</v>
      </c>
      <c r="C501" s="2">
        <v>6.36</v>
      </c>
      <c r="D501" t="s">
        <v>376</v>
      </c>
      <c r="E501" t="s">
        <v>28</v>
      </c>
      <c r="F501" t="s">
        <v>55</v>
      </c>
      <c r="H501" t="s">
        <v>29</v>
      </c>
      <c r="I501" t="s">
        <v>29</v>
      </c>
      <c r="J501" t="s">
        <v>46</v>
      </c>
      <c r="K501" s="13">
        <v>44206</v>
      </c>
      <c r="L501" t="s">
        <v>330</v>
      </c>
      <c r="M501" t="str">
        <f t="shared" si="16"/>
        <v>December</v>
      </c>
      <c r="N501">
        <f t="shared" si="17"/>
        <v>2020</v>
      </c>
    </row>
    <row r="502" spans="1:14" x14ac:dyDescent="0.25">
      <c r="A502">
        <v>500</v>
      </c>
      <c r="B502" s="52">
        <v>44167</v>
      </c>
      <c r="C502" s="2">
        <v>16.45</v>
      </c>
      <c r="D502" t="s">
        <v>484</v>
      </c>
      <c r="E502" t="s">
        <v>28</v>
      </c>
      <c r="F502" t="s">
        <v>50</v>
      </c>
      <c r="H502" t="s">
        <v>29</v>
      </c>
      <c r="I502" t="s">
        <v>29</v>
      </c>
      <c r="J502" t="s">
        <v>46</v>
      </c>
      <c r="K502" s="13">
        <v>44206</v>
      </c>
      <c r="L502" t="s">
        <v>330</v>
      </c>
      <c r="M502" t="str">
        <f t="shared" si="16"/>
        <v>December</v>
      </c>
      <c r="N502">
        <f t="shared" si="17"/>
        <v>2020</v>
      </c>
    </row>
    <row r="503" spans="1:14" x14ac:dyDescent="0.25">
      <c r="A503">
        <v>501</v>
      </c>
      <c r="B503" s="52">
        <v>44169</v>
      </c>
      <c r="C503" s="2">
        <v>5.08</v>
      </c>
      <c r="D503" t="s">
        <v>485</v>
      </c>
      <c r="E503" t="s">
        <v>28</v>
      </c>
      <c r="F503" t="s">
        <v>52</v>
      </c>
      <c r="H503" t="s">
        <v>29</v>
      </c>
      <c r="I503" t="s">
        <v>29</v>
      </c>
      <c r="J503" t="s">
        <v>46</v>
      </c>
      <c r="K503" s="13">
        <v>44206</v>
      </c>
      <c r="L503" t="s">
        <v>330</v>
      </c>
      <c r="M503" t="str">
        <f t="shared" si="16"/>
        <v>December</v>
      </c>
      <c r="N503">
        <f t="shared" si="17"/>
        <v>2020</v>
      </c>
    </row>
    <row r="504" spans="1:14" x14ac:dyDescent="0.25">
      <c r="A504">
        <v>502</v>
      </c>
      <c r="B504" s="52">
        <v>44169</v>
      </c>
      <c r="C504" s="2">
        <v>10</v>
      </c>
      <c r="D504" t="s">
        <v>486</v>
      </c>
      <c r="E504" t="s">
        <v>28</v>
      </c>
      <c r="F504" t="s">
        <v>520</v>
      </c>
      <c r="H504" t="s">
        <v>29</v>
      </c>
      <c r="I504" t="s">
        <v>29</v>
      </c>
      <c r="J504" t="s">
        <v>46</v>
      </c>
      <c r="K504" s="13">
        <v>44206</v>
      </c>
      <c r="L504" t="s">
        <v>330</v>
      </c>
      <c r="M504" t="str">
        <f t="shared" si="16"/>
        <v>December</v>
      </c>
      <c r="N504">
        <f t="shared" si="17"/>
        <v>2020</v>
      </c>
    </row>
    <row r="505" spans="1:14" x14ac:dyDescent="0.25">
      <c r="A505">
        <v>503</v>
      </c>
      <c r="B505" s="52">
        <v>44169</v>
      </c>
      <c r="C505" s="2">
        <v>84.8</v>
      </c>
      <c r="D505" t="s">
        <v>487</v>
      </c>
      <c r="E505" t="s">
        <v>28</v>
      </c>
      <c r="F505" t="s">
        <v>520</v>
      </c>
      <c r="H505" t="s">
        <v>29</v>
      </c>
      <c r="I505" t="s">
        <v>29</v>
      </c>
      <c r="J505" t="s">
        <v>46</v>
      </c>
      <c r="K505" s="13">
        <v>44206</v>
      </c>
      <c r="L505" t="s">
        <v>330</v>
      </c>
      <c r="M505" t="str">
        <f t="shared" si="16"/>
        <v>December</v>
      </c>
      <c r="N505">
        <f t="shared" si="17"/>
        <v>2020</v>
      </c>
    </row>
    <row r="506" spans="1:14" x14ac:dyDescent="0.25">
      <c r="A506">
        <v>504</v>
      </c>
      <c r="B506" s="52">
        <v>44170</v>
      </c>
      <c r="C506" s="2">
        <v>17.68</v>
      </c>
      <c r="D506" t="s">
        <v>488</v>
      </c>
      <c r="E506" t="s">
        <v>28</v>
      </c>
      <c r="F506" t="s">
        <v>32</v>
      </c>
      <c r="H506" t="s">
        <v>29</v>
      </c>
      <c r="I506" t="s">
        <v>29</v>
      </c>
      <c r="J506" t="s">
        <v>46</v>
      </c>
      <c r="K506" s="13">
        <v>44206</v>
      </c>
      <c r="L506" t="s">
        <v>330</v>
      </c>
      <c r="M506" t="str">
        <f t="shared" si="16"/>
        <v>December</v>
      </c>
      <c r="N506">
        <f t="shared" si="17"/>
        <v>2020</v>
      </c>
    </row>
    <row r="507" spans="1:14" x14ac:dyDescent="0.25">
      <c r="A507">
        <v>505</v>
      </c>
      <c r="B507" s="52">
        <v>44170</v>
      </c>
      <c r="C507" s="2">
        <v>59.35</v>
      </c>
      <c r="D507" t="s">
        <v>489</v>
      </c>
      <c r="E507" t="s">
        <v>28</v>
      </c>
      <c r="F507" t="s">
        <v>33</v>
      </c>
      <c r="H507" t="s">
        <v>29</v>
      </c>
      <c r="I507" t="s">
        <v>29</v>
      </c>
      <c r="J507" t="s">
        <v>46</v>
      </c>
      <c r="K507" s="13">
        <v>44206</v>
      </c>
      <c r="L507" t="s">
        <v>330</v>
      </c>
      <c r="M507" t="str">
        <f t="shared" si="16"/>
        <v>December</v>
      </c>
      <c r="N507">
        <f t="shared" si="17"/>
        <v>2020</v>
      </c>
    </row>
    <row r="508" spans="1:14" x14ac:dyDescent="0.25">
      <c r="A508">
        <v>506</v>
      </c>
      <c r="B508" s="52">
        <v>44171</v>
      </c>
      <c r="C508" s="2">
        <v>20.7</v>
      </c>
      <c r="D508" t="s">
        <v>490</v>
      </c>
      <c r="E508" t="s">
        <v>28</v>
      </c>
      <c r="F508" t="s">
        <v>50</v>
      </c>
      <c r="G508" t="s">
        <v>517</v>
      </c>
      <c r="H508" t="s">
        <v>29</v>
      </c>
      <c r="I508" t="s">
        <v>29</v>
      </c>
      <c r="J508" t="s">
        <v>46</v>
      </c>
      <c r="K508" s="13">
        <v>44206</v>
      </c>
      <c r="L508" t="s">
        <v>330</v>
      </c>
      <c r="M508" t="str">
        <f t="shared" si="16"/>
        <v>December</v>
      </c>
      <c r="N508">
        <f t="shared" si="17"/>
        <v>2020</v>
      </c>
    </row>
    <row r="509" spans="1:14" x14ac:dyDescent="0.25">
      <c r="A509">
        <v>507</v>
      </c>
      <c r="B509" s="52">
        <v>44172</v>
      </c>
      <c r="C509" s="2">
        <v>66</v>
      </c>
      <c r="D509" t="s">
        <v>491</v>
      </c>
      <c r="E509" t="s">
        <v>28</v>
      </c>
      <c r="F509" t="s">
        <v>520</v>
      </c>
      <c r="H509" t="s">
        <v>29</v>
      </c>
      <c r="I509" t="s">
        <v>29</v>
      </c>
      <c r="J509" t="s">
        <v>46</v>
      </c>
      <c r="K509" s="13">
        <v>44206</v>
      </c>
      <c r="L509" t="s">
        <v>330</v>
      </c>
      <c r="M509" t="str">
        <f t="shared" si="16"/>
        <v>December</v>
      </c>
      <c r="N509">
        <f t="shared" si="17"/>
        <v>2020</v>
      </c>
    </row>
    <row r="510" spans="1:14" x14ac:dyDescent="0.25">
      <c r="A510">
        <v>508</v>
      </c>
      <c r="B510" s="52">
        <v>44176</v>
      </c>
      <c r="C510" s="2">
        <v>6.5</v>
      </c>
      <c r="D510" t="s">
        <v>492</v>
      </c>
      <c r="E510" t="s">
        <v>28</v>
      </c>
      <c r="F510" t="s">
        <v>50</v>
      </c>
      <c r="G510" t="s">
        <v>517</v>
      </c>
      <c r="H510" t="s">
        <v>29</v>
      </c>
      <c r="I510" t="s">
        <v>29</v>
      </c>
      <c r="J510" t="s">
        <v>46</v>
      </c>
      <c r="K510" s="13">
        <v>44206</v>
      </c>
      <c r="L510" t="s">
        <v>330</v>
      </c>
      <c r="M510" t="str">
        <f t="shared" si="16"/>
        <v>December</v>
      </c>
      <c r="N510">
        <f t="shared" si="17"/>
        <v>2020</v>
      </c>
    </row>
    <row r="511" spans="1:14" x14ac:dyDescent="0.25">
      <c r="A511">
        <v>509</v>
      </c>
      <c r="B511" s="52">
        <v>44177</v>
      </c>
      <c r="C511" s="2">
        <v>20</v>
      </c>
      <c r="D511" t="s">
        <v>493</v>
      </c>
      <c r="E511" t="s">
        <v>28</v>
      </c>
      <c r="F511" t="s">
        <v>52</v>
      </c>
      <c r="H511" t="s">
        <v>29</v>
      </c>
      <c r="I511" t="s">
        <v>29</v>
      </c>
      <c r="J511" t="s">
        <v>46</v>
      </c>
      <c r="K511" s="13">
        <v>44206</v>
      </c>
      <c r="L511" t="s">
        <v>330</v>
      </c>
      <c r="M511" t="str">
        <f t="shared" si="16"/>
        <v>December</v>
      </c>
      <c r="N511">
        <f t="shared" si="17"/>
        <v>2020</v>
      </c>
    </row>
    <row r="512" spans="1:14" x14ac:dyDescent="0.25">
      <c r="A512">
        <v>510</v>
      </c>
      <c r="B512" s="52">
        <v>44177</v>
      </c>
      <c r="C512" s="2">
        <v>73.489999999999995</v>
      </c>
      <c r="D512" t="s">
        <v>368</v>
      </c>
      <c r="E512" t="s">
        <v>28</v>
      </c>
      <c r="F512" t="s">
        <v>519</v>
      </c>
      <c r="H512" t="s">
        <v>29</v>
      </c>
      <c r="I512" t="s">
        <v>29</v>
      </c>
      <c r="J512" t="s">
        <v>46</v>
      </c>
      <c r="K512" s="13">
        <v>44206</v>
      </c>
      <c r="L512" t="s">
        <v>330</v>
      </c>
      <c r="M512" t="str">
        <f t="shared" si="16"/>
        <v>December</v>
      </c>
      <c r="N512">
        <f t="shared" si="17"/>
        <v>2020</v>
      </c>
    </row>
    <row r="513" spans="1:14" x14ac:dyDescent="0.25">
      <c r="A513">
        <v>511</v>
      </c>
      <c r="B513" s="52">
        <v>44178</v>
      </c>
      <c r="C513" s="2">
        <v>37.1</v>
      </c>
      <c r="D513" t="s">
        <v>494</v>
      </c>
      <c r="E513" t="s">
        <v>28</v>
      </c>
      <c r="F513" t="s">
        <v>52</v>
      </c>
      <c r="H513" t="s">
        <v>29</v>
      </c>
      <c r="I513" t="s">
        <v>29</v>
      </c>
      <c r="J513" t="s">
        <v>46</v>
      </c>
      <c r="K513" s="13">
        <v>44206</v>
      </c>
      <c r="L513" t="s">
        <v>330</v>
      </c>
      <c r="M513" t="str">
        <f t="shared" si="16"/>
        <v>December</v>
      </c>
      <c r="N513">
        <f t="shared" si="17"/>
        <v>2020</v>
      </c>
    </row>
    <row r="514" spans="1:14" x14ac:dyDescent="0.25">
      <c r="A514">
        <v>512</v>
      </c>
      <c r="B514" s="52">
        <v>44179</v>
      </c>
      <c r="C514" s="2">
        <v>143.03</v>
      </c>
      <c r="D514" t="s">
        <v>495</v>
      </c>
      <c r="E514" t="s">
        <v>28</v>
      </c>
      <c r="F514" t="s">
        <v>35</v>
      </c>
      <c r="H514" t="s">
        <v>29</v>
      </c>
      <c r="I514" t="s">
        <v>29</v>
      </c>
      <c r="J514" t="s">
        <v>46</v>
      </c>
      <c r="K514" s="13">
        <v>44206</v>
      </c>
      <c r="L514" t="s">
        <v>330</v>
      </c>
      <c r="M514" t="str">
        <f t="shared" si="16"/>
        <v>December</v>
      </c>
      <c r="N514">
        <f t="shared" si="17"/>
        <v>2020</v>
      </c>
    </row>
    <row r="515" spans="1:14" x14ac:dyDescent="0.25">
      <c r="A515">
        <v>513</v>
      </c>
      <c r="B515" s="52">
        <v>44180</v>
      </c>
      <c r="C515" s="2">
        <v>15.4</v>
      </c>
      <c r="D515" t="s">
        <v>496</v>
      </c>
      <c r="E515" t="s">
        <v>28</v>
      </c>
      <c r="F515" t="s">
        <v>56</v>
      </c>
      <c r="H515" t="s">
        <v>29</v>
      </c>
      <c r="I515" t="s">
        <v>29</v>
      </c>
      <c r="J515" t="s">
        <v>46</v>
      </c>
      <c r="K515" s="13">
        <v>44206</v>
      </c>
      <c r="L515" t="s">
        <v>330</v>
      </c>
      <c r="M515" t="str">
        <f t="shared" ref="M515:M532" si="18">TEXT(B515,"mmmm")</f>
        <v>December</v>
      </c>
      <c r="N515">
        <f t="shared" ref="N515:N532" si="19">YEAR(B515)</f>
        <v>2020</v>
      </c>
    </row>
    <row r="516" spans="1:14" x14ac:dyDescent="0.25">
      <c r="A516">
        <v>514</v>
      </c>
      <c r="B516" s="52">
        <v>44181</v>
      </c>
      <c r="C516" s="2">
        <v>21.19</v>
      </c>
      <c r="D516" t="s">
        <v>497</v>
      </c>
      <c r="E516" t="s">
        <v>28</v>
      </c>
      <c r="F516" t="s">
        <v>522</v>
      </c>
      <c r="H516" t="s">
        <v>29</v>
      </c>
      <c r="I516" t="s">
        <v>29</v>
      </c>
      <c r="J516" t="s">
        <v>46</v>
      </c>
      <c r="K516" s="13">
        <v>44206</v>
      </c>
      <c r="L516" t="s">
        <v>330</v>
      </c>
      <c r="M516" t="str">
        <f t="shared" si="18"/>
        <v>December</v>
      </c>
      <c r="N516">
        <f t="shared" si="19"/>
        <v>2020</v>
      </c>
    </row>
    <row r="517" spans="1:14" x14ac:dyDescent="0.25">
      <c r="A517">
        <v>515</v>
      </c>
      <c r="B517" s="52">
        <v>44186</v>
      </c>
      <c r="C517" s="2">
        <v>2.96</v>
      </c>
      <c r="D517" t="s">
        <v>498</v>
      </c>
      <c r="E517" t="s">
        <v>28</v>
      </c>
      <c r="F517" t="s">
        <v>519</v>
      </c>
      <c r="H517" t="s">
        <v>29</v>
      </c>
      <c r="I517" t="s">
        <v>29</v>
      </c>
      <c r="J517" t="s">
        <v>46</v>
      </c>
      <c r="K517" s="13">
        <v>44206</v>
      </c>
      <c r="L517" t="s">
        <v>330</v>
      </c>
      <c r="M517" t="str">
        <f t="shared" si="18"/>
        <v>December</v>
      </c>
      <c r="N517">
        <f t="shared" si="19"/>
        <v>2020</v>
      </c>
    </row>
    <row r="518" spans="1:14" x14ac:dyDescent="0.25">
      <c r="A518">
        <v>516</v>
      </c>
      <c r="B518" s="52">
        <v>44186</v>
      </c>
      <c r="C518" s="2">
        <v>38</v>
      </c>
      <c r="D518" t="s">
        <v>499</v>
      </c>
      <c r="E518" t="s">
        <v>28</v>
      </c>
      <c r="F518" t="s">
        <v>50</v>
      </c>
      <c r="H518" t="s">
        <v>29</v>
      </c>
      <c r="I518" t="s">
        <v>29</v>
      </c>
      <c r="J518" t="s">
        <v>46</v>
      </c>
      <c r="K518" s="13">
        <v>44206</v>
      </c>
      <c r="L518" t="s">
        <v>330</v>
      </c>
      <c r="M518" t="str">
        <f t="shared" si="18"/>
        <v>December</v>
      </c>
      <c r="N518">
        <f t="shared" si="19"/>
        <v>2020</v>
      </c>
    </row>
    <row r="519" spans="1:14" x14ac:dyDescent="0.25">
      <c r="A519">
        <v>517</v>
      </c>
      <c r="B519" s="52">
        <v>44187</v>
      </c>
      <c r="C519" s="2">
        <v>36.01</v>
      </c>
      <c r="D519" t="s">
        <v>500</v>
      </c>
      <c r="E519" t="s">
        <v>28</v>
      </c>
      <c r="F519" t="s">
        <v>52</v>
      </c>
      <c r="H519" t="s">
        <v>29</v>
      </c>
      <c r="I519" t="s">
        <v>29</v>
      </c>
      <c r="J519" t="s">
        <v>46</v>
      </c>
      <c r="K519" s="13">
        <v>44206</v>
      </c>
      <c r="L519" t="s">
        <v>330</v>
      </c>
      <c r="M519" t="str">
        <f t="shared" si="18"/>
        <v>December</v>
      </c>
      <c r="N519">
        <f t="shared" si="19"/>
        <v>2020</v>
      </c>
    </row>
    <row r="520" spans="1:14" x14ac:dyDescent="0.25">
      <c r="A520">
        <v>518</v>
      </c>
      <c r="B520" s="52">
        <v>44187</v>
      </c>
      <c r="C520" s="2">
        <v>15.9</v>
      </c>
      <c r="D520" t="s">
        <v>455</v>
      </c>
      <c r="E520" t="s">
        <v>28</v>
      </c>
      <c r="F520" t="s">
        <v>52</v>
      </c>
      <c r="H520" t="s">
        <v>29</v>
      </c>
      <c r="I520" t="s">
        <v>29</v>
      </c>
      <c r="J520" t="s">
        <v>46</v>
      </c>
      <c r="K520" s="13">
        <v>44206</v>
      </c>
      <c r="L520" t="s">
        <v>330</v>
      </c>
      <c r="M520" t="str">
        <f t="shared" si="18"/>
        <v>December</v>
      </c>
      <c r="N520">
        <f t="shared" si="19"/>
        <v>2020</v>
      </c>
    </row>
    <row r="521" spans="1:14" x14ac:dyDescent="0.25">
      <c r="A521">
        <v>519</v>
      </c>
      <c r="B521" s="52">
        <v>44188</v>
      </c>
      <c r="C521" s="2">
        <v>28</v>
      </c>
      <c r="D521" t="s">
        <v>501</v>
      </c>
      <c r="E521" t="s">
        <v>28</v>
      </c>
      <c r="F521" t="s">
        <v>51</v>
      </c>
      <c r="H521" t="s">
        <v>29</v>
      </c>
      <c r="I521" t="s">
        <v>29</v>
      </c>
      <c r="J521" t="s">
        <v>46</v>
      </c>
      <c r="K521" s="13">
        <v>44206</v>
      </c>
      <c r="L521" t="s">
        <v>330</v>
      </c>
      <c r="M521" t="str">
        <f t="shared" si="18"/>
        <v>December</v>
      </c>
      <c r="N521">
        <f t="shared" si="19"/>
        <v>2020</v>
      </c>
    </row>
    <row r="522" spans="1:14" x14ac:dyDescent="0.25">
      <c r="A522">
        <v>520</v>
      </c>
      <c r="B522" s="52">
        <v>44188</v>
      </c>
      <c r="C522" s="2">
        <v>10.8</v>
      </c>
      <c r="D522" t="s">
        <v>502</v>
      </c>
      <c r="E522" t="s">
        <v>28</v>
      </c>
      <c r="F522" t="s">
        <v>52</v>
      </c>
      <c r="H522" t="s">
        <v>29</v>
      </c>
      <c r="I522" t="s">
        <v>29</v>
      </c>
      <c r="J522" t="s">
        <v>46</v>
      </c>
      <c r="K522" s="13">
        <v>44206</v>
      </c>
      <c r="L522" t="s">
        <v>330</v>
      </c>
      <c r="M522" t="str">
        <f t="shared" si="18"/>
        <v>December</v>
      </c>
      <c r="N522">
        <f t="shared" si="19"/>
        <v>2020</v>
      </c>
    </row>
    <row r="523" spans="1:14" x14ac:dyDescent="0.25">
      <c r="A523">
        <v>521</v>
      </c>
      <c r="B523" s="52">
        <v>44188</v>
      </c>
      <c r="C523" s="2">
        <v>21.6</v>
      </c>
      <c r="D523" t="s">
        <v>503</v>
      </c>
      <c r="E523" t="s">
        <v>28</v>
      </c>
      <c r="F523" t="s">
        <v>52</v>
      </c>
      <c r="H523" t="s">
        <v>29</v>
      </c>
      <c r="I523" t="s">
        <v>29</v>
      </c>
      <c r="J523" t="s">
        <v>46</v>
      </c>
      <c r="K523" s="13">
        <v>44206</v>
      </c>
      <c r="L523" t="s">
        <v>330</v>
      </c>
      <c r="M523" t="str">
        <f t="shared" si="18"/>
        <v>December</v>
      </c>
      <c r="N523">
        <f t="shared" si="19"/>
        <v>2020</v>
      </c>
    </row>
    <row r="524" spans="1:14" x14ac:dyDescent="0.25">
      <c r="A524">
        <v>522</v>
      </c>
      <c r="B524" s="52">
        <v>44188</v>
      </c>
      <c r="C524" s="2">
        <v>10</v>
      </c>
      <c r="D524" t="s">
        <v>504</v>
      </c>
      <c r="E524" t="s">
        <v>28</v>
      </c>
      <c r="F524" t="s">
        <v>50</v>
      </c>
      <c r="H524" t="s">
        <v>29</v>
      </c>
      <c r="I524" t="s">
        <v>29</v>
      </c>
      <c r="J524" t="s">
        <v>46</v>
      </c>
      <c r="K524" s="13">
        <v>44206</v>
      </c>
      <c r="L524" t="s">
        <v>330</v>
      </c>
      <c r="M524" t="str">
        <f t="shared" si="18"/>
        <v>December</v>
      </c>
      <c r="N524">
        <f t="shared" si="19"/>
        <v>2020</v>
      </c>
    </row>
    <row r="525" spans="1:14" x14ac:dyDescent="0.25">
      <c r="A525">
        <v>523</v>
      </c>
      <c r="B525" s="52">
        <v>44188</v>
      </c>
      <c r="C525" s="2">
        <v>28.99</v>
      </c>
      <c r="D525" t="s">
        <v>505</v>
      </c>
      <c r="E525" t="s">
        <v>28</v>
      </c>
      <c r="F525" t="s">
        <v>33</v>
      </c>
      <c r="H525" t="s">
        <v>29</v>
      </c>
      <c r="I525" t="s">
        <v>29</v>
      </c>
      <c r="J525" t="s">
        <v>46</v>
      </c>
      <c r="K525" s="13">
        <v>44206</v>
      </c>
      <c r="L525" t="s">
        <v>330</v>
      </c>
      <c r="M525" t="str">
        <f t="shared" si="18"/>
        <v>December</v>
      </c>
      <c r="N525">
        <f t="shared" si="19"/>
        <v>2020</v>
      </c>
    </row>
    <row r="526" spans="1:14" x14ac:dyDescent="0.25">
      <c r="A526">
        <v>524</v>
      </c>
      <c r="B526" s="52">
        <v>44188</v>
      </c>
      <c r="C526" s="2">
        <v>33.35</v>
      </c>
      <c r="D526" t="s">
        <v>355</v>
      </c>
      <c r="E526" t="s">
        <v>28</v>
      </c>
      <c r="F526" t="s">
        <v>522</v>
      </c>
      <c r="H526" t="s">
        <v>29</v>
      </c>
      <c r="I526" t="s">
        <v>29</v>
      </c>
      <c r="J526" t="s">
        <v>46</v>
      </c>
      <c r="K526" s="13">
        <v>44206</v>
      </c>
      <c r="L526" t="s">
        <v>330</v>
      </c>
      <c r="M526" t="str">
        <f t="shared" si="18"/>
        <v>December</v>
      </c>
      <c r="N526">
        <f t="shared" si="19"/>
        <v>2020</v>
      </c>
    </row>
    <row r="527" spans="1:14" x14ac:dyDescent="0.25">
      <c r="A527">
        <v>525</v>
      </c>
      <c r="B527" s="52">
        <v>44192</v>
      </c>
      <c r="C527" s="2">
        <v>37.04</v>
      </c>
      <c r="D527" t="s">
        <v>506</v>
      </c>
      <c r="E527" t="s">
        <v>28</v>
      </c>
      <c r="F527" t="s">
        <v>54</v>
      </c>
      <c r="H527" t="s">
        <v>29</v>
      </c>
      <c r="I527" t="s">
        <v>29</v>
      </c>
      <c r="J527" t="s">
        <v>46</v>
      </c>
      <c r="K527" s="13">
        <v>44206</v>
      </c>
      <c r="L527" t="s">
        <v>330</v>
      </c>
      <c r="M527" t="str">
        <f t="shared" si="18"/>
        <v>December</v>
      </c>
      <c r="N527">
        <f t="shared" si="19"/>
        <v>2020</v>
      </c>
    </row>
    <row r="528" spans="1:14" x14ac:dyDescent="0.25">
      <c r="A528">
        <v>526</v>
      </c>
      <c r="B528" s="52">
        <v>44193</v>
      </c>
      <c r="C528" s="2">
        <v>23</v>
      </c>
      <c r="D528" t="s">
        <v>507</v>
      </c>
      <c r="E528" t="s">
        <v>28</v>
      </c>
      <c r="F528" t="s">
        <v>50</v>
      </c>
      <c r="H528" t="s">
        <v>29</v>
      </c>
      <c r="I528" t="s">
        <v>29</v>
      </c>
      <c r="J528" t="s">
        <v>46</v>
      </c>
      <c r="K528" s="13">
        <v>44206</v>
      </c>
      <c r="L528" t="s">
        <v>330</v>
      </c>
      <c r="M528" t="str">
        <f t="shared" si="18"/>
        <v>December</v>
      </c>
      <c r="N528">
        <f t="shared" si="19"/>
        <v>2020</v>
      </c>
    </row>
    <row r="529" spans="1:14" x14ac:dyDescent="0.25">
      <c r="A529">
        <v>527</v>
      </c>
      <c r="B529" s="52">
        <v>44193</v>
      </c>
      <c r="C529" s="2">
        <v>32.83</v>
      </c>
      <c r="D529" t="s">
        <v>508</v>
      </c>
      <c r="E529" t="s">
        <v>28</v>
      </c>
      <c r="F529" t="s">
        <v>33</v>
      </c>
      <c r="H529" t="s">
        <v>29</v>
      </c>
      <c r="I529" t="s">
        <v>29</v>
      </c>
      <c r="J529" t="s">
        <v>46</v>
      </c>
      <c r="K529" s="13">
        <v>44206</v>
      </c>
      <c r="L529" t="s">
        <v>330</v>
      </c>
      <c r="M529" t="str">
        <f t="shared" si="18"/>
        <v>December</v>
      </c>
      <c r="N529">
        <f t="shared" si="19"/>
        <v>2020</v>
      </c>
    </row>
    <row r="530" spans="1:14" x14ac:dyDescent="0.25">
      <c r="A530">
        <v>528</v>
      </c>
      <c r="B530" s="52">
        <v>44194</v>
      </c>
      <c r="C530" s="2">
        <v>56.16</v>
      </c>
      <c r="D530" t="s">
        <v>509</v>
      </c>
      <c r="E530" t="s">
        <v>28</v>
      </c>
      <c r="F530" t="s">
        <v>33</v>
      </c>
      <c r="H530" t="s">
        <v>29</v>
      </c>
      <c r="I530" t="s">
        <v>29</v>
      </c>
      <c r="J530" t="s">
        <v>46</v>
      </c>
      <c r="K530" s="13">
        <v>44206</v>
      </c>
      <c r="L530" t="s">
        <v>330</v>
      </c>
      <c r="M530" t="str">
        <f t="shared" si="18"/>
        <v>December</v>
      </c>
      <c r="N530">
        <f t="shared" si="19"/>
        <v>2020</v>
      </c>
    </row>
    <row r="531" spans="1:14" x14ac:dyDescent="0.25">
      <c r="A531">
        <v>529</v>
      </c>
      <c r="B531" s="52">
        <v>44196</v>
      </c>
      <c r="C531" s="2">
        <v>1.5</v>
      </c>
      <c r="D531" t="s">
        <v>510</v>
      </c>
      <c r="E531" t="s">
        <v>28</v>
      </c>
      <c r="F531" t="s">
        <v>50</v>
      </c>
      <c r="H531" t="s">
        <v>29</v>
      </c>
      <c r="I531" t="s">
        <v>29</v>
      </c>
      <c r="J531" t="s">
        <v>46</v>
      </c>
      <c r="K531" s="13">
        <v>44206</v>
      </c>
      <c r="L531" t="s">
        <v>330</v>
      </c>
      <c r="M531" t="str">
        <f t="shared" si="18"/>
        <v>December</v>
      </c>
      <c r="N531">
        <f t="shared" si="19"/>
        <v>2020</v>
      </c>
    </row>
    <row r="532" spans="1:14" x14ac:dyDescent="0.25">
      <c r="A532">
        <v>530</v>
      </c>
      <c r="B532" s="52">
        <v>44196</v>
      </c>
      <c r="C532" s="2">
        <v>70.72</v>
      </c>
      <c r="D532" t="s">
        <v>511</v>
      </c>
      <c r="E532" t="s">
        <v>28</v>
      </c>
      <c r="F532" t="s">
        <v>50</v>
      </c>
      <c r="H532" t="s">
        <v>29</v>
      </c>
      <c r="I532" t="s">
        <v>29</v>
      </c>
      <c r="J532" t="s">
        <v>46</v>
      </c>
      <c r="K532" s="13">
        <v>44206</v>
      </c>
      <c r="L532" t="s">
        <v>330</v>
      </c>
      <c r="M532" t="str">
        <f t="shared" si="18"/>
        <v>December</v>
      </c>
      <c r="N532">
        <f t="shared" si="19"/>
        <v>2020</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DD53A-051F-4D65-B22D-B2389573FDF4}">
  <sheetPr codeName="Sheet7"/>
  <dimension ref="B1:M29"/>
  <sheetViews>
    <sheetView showGridLines="0" workbookViewId="0">
      <selection activeCell="B9" sqref="B9"/>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75</v>
      </c>
    </row>
    <row r="3" spans="2:13" s="3" customFormat="1" x14ac:dyDescent="0.25">
      <c r="B3" s="44" t="s">
        <v>72</v>
      </c>
      <c r="C3" s="49" t="s">
        <v>81</v>
      </c>
    </row>
    <row r="4" spans="2:13" s="7" customFormat="1" x14ac:dyDescent="0.25">
      <c r="B4" s="70" t="s">
        <v>74</v>
      </c>
      <c r="C4" s="50" t="s">
        <v>81</v>
      </c>
    </row>
    <row r="5" spans="2:13" ht="15.75" thickBot="1" x14ac:dyDescent="0.3"/>
    <row r="6" spans="2:13" ht="24" thickBot="1" x14ac:dyDescent="0.4">
      <c r="B6" s="33" t="s">
        <v>58</v>
      </c>
      <c r="C6" s="30">
        <f>IF($C$3="All",
IF($C$4="All",SUM(INDEX(ExpenseList,,3)),
SUMIFS(INDEX(ExpenseList,,3),INDEX(ExpenseList,,13),$C$4)),
IF($C$4="All",SUMIFS(INDEX(ExpenseList,,3),INDEX(ExpenseList,,14),$C$3),
SUMIFS(INDEX(ExpenseList,,3),INDEX(ExpenseList,,13),$C$4,INDEX(ExpenseList,,14),$C$3)))</f>
        <v>0</v>
      </c>
    </row>
    <row r="7" spans="2:13" ht="15.75" thickBot="1" x14ac:dyDescent="0.3">
      <c r="H7" s="36"/>
    </row>
    <row r="8" spans="2:13" ht="15.75" thickBot="1" x14ac:dyDescent="0.3">
      <c r="B8" s="57" t="s">
        <v>6</v>
      </c>
      <c r="C8" s="58" t="s">
        <v>77</v>
      </c>
      <c r="D8" s="58" t="s">
        <v>76</v>
      </c>
      <c r="E8" s="58" t="s">
        <v>79</v>
      </c>
      <c r="F8" s="59" t="s">
        <v>80</v>
      </c>
      <c r="H8" s="36" t="s">
        <v>3</v>
      </c>
      <c r="I8" s="56" t="s">
        <v>2</v>
      </c>
      <c r="J8" s="53" t="s">
        <v>5</v>
      </c>
      <c r="K8" s="36" t="s">
        <v>6</v>
      </c>
      <c r="L8" s="36" t="s">
        <v>1</v>
      </c>
      <c r="M8" s="36" t="s">
        <v>16</v>
      </c>
    </row>
    <row r="9" spans="2:13"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row>
    <row r="10" spans="2:13" x14ac:dyDescent="0.25">
      <c r="B10" s="14" t="str">
        <f>IF(INDEX(BudgetCat,2)=0,"",INDEX(BudgetCat,2))</f>
        <v/>
      </c>
      <c r="C10" s="41">
        <f t="shared" si="0"/>
        <v>0</v>
      </c>
      <c r="D10" s="35">
        <v>0</v>
      </c>
      <c r="E10" s="42">
        <f t="shared" ref="E10:E28" si="1">D10-C10</f>
        <v>0</v>
      </c>
      <c r="F10" s="38" t="e">
        <f t="shared" ref="F10:F28" si="2">IF(C10/$C$6=0,"",C10/$C$6)</f>
        <v>#DIV/0!</v>
      </c>
    </row>
    <row r="11" spans="2:13" x14ac:dyDescent="0.25">
      <c r="B11" s="14" t="str">
        <f>IF(INDEX(BudgetCat,3)=0,"",INDEX(BudgetCat,3))</f>
        <v/>
      </c>
      <c r="C11" s="41">
        <f t="shared" si="0"/>
        <v>0</v>
      </c>
      <c r="D11" s="35">
        <v>0</v>
      </c>
      <c r="E11" s="42">
        <f t="shared" si="1"/>
        <v>0</v>
      </c>
      <c r="F11" s="38" t="e">
        <f t="shared" si="2"/>
        <v>#DIV/0!</v>
      </c>
    </row>
    <row r="12" spans="2:13" x14ac:dyDescent="0.25">
      <c r="B12" s="14" t="str">
        <f>IF(INDEX(BudgetCat,4)=0,"",INDEX(BudgetCat,4))</f>
        <v/>
      </c>
      <c r="C12" s="41">
        <f t="shared" si="0"/>
        <v>0</v>
      </c>
      <c r="D12" s="35">
        <v>0</v>
      </c>
      <c r="E12" s="42">
        <f t="shared" si="1"/>
        <v>0</v>
      </c>
      <c r="F12" s="38" t="e">
        <f t="shared" si="2"/>
        <v>#DIV/0!</v>
      </c>
    </row>
    <row r="13" spans="2:13" x14ac:dyDescent="0.25">
      <c r="B13" s="14" t="str">
        <f>IF(INDEX(BudgetCat,5)=0,"",INDEX(BudgetCat,5))</f>
        <v/>
      </c>
      <c r="C13" s="41">
        <f t="shared" si="0"/>
        <v>0</v>
      </c>
      <c r="D13" s="35">
        <v>0</v>
      </c>
      <c r="E13" s="42">
        <f t="shared" si="1"/>
        <v>0</v>
      </c>
      <c r="F13" s="38" t="e">
        <f t="shared" si="2"/>
        <v>#DIV/0!</v>
      </c>
    </row>
    <row r="14" spans="2:13" x14ac:dyDescent="0.25">
      <c r="B14" s="14" t="str">
        <f>IF(INDEX(BudgetCat,6)=0,"",INDEX(BudgetCat,6))</f>
        <v/>
      </c>
      <c r="C14" s="41">
        <f t="shared" si="0"/>
        <v>0</v>
      </c>
      <c r="D14" s="35">
        <v>0</v>
      </c>
      <c r="E14" s="42">
        <f t="shared" si="1"/>
        <v>0</v>
      </c>
      <c r="F14" s="38" t="e">
        <f t="shared" si="2"/>
        <v>#DIV/0!</v>
      </c>
    </row>
    <row r="15" spans="2:13" x14ac:dyDescent="0.25">
      <c r="B15" s="14" t="str">
        <f>IF(INDEX(BudgetCat,7)=0,"",INDEX(BudgetCat,7))</f>
        <v/>
      </c>
      <c r="C15" s="41">
        <f t="shared" si="0"/>
        <v>0</v>
      </c>
      <c r="D15" s="35">
        <v>0</v>
      </c>
      <c r="E15" s="42">
        <f t="shared" si="1"/>
        <v>0</v>
      </c>
      <c r="F15" s="38" t="e">
        <f t="shared" si="2"/>
        <v>#DIV/0!</v>
      </c>
    </row>
    <row r="16" spans="2:13" x14ac:dyDescent="0.25">
      <c r="B16" s="14" t="str">
        <f>IF(INDEX(BudgetCat,8)=0,"",INDEX(BudgetCat,8))</f>
        <v/>
      </c>
      <c r="C16" s="41">
        <f t="shared" si="0"/>
        <v>0</v>
      </c>
      <c r="D16" s="35">
        <v>0</v>
      </c>
      <c r="E16" s="42">
        <f t="shared" si="1"/>
        <v>0</v>
      </c>
      <c r="F16" s="38" t="e">
        <f t="shared" si="2"/>
        <v>#DIV/0!</v>
      </c>
    </row>
    <row r="17" spans="2:6" x14ac:dyDescent="0.25">
      <c r="B17" s="14" t="str">
        <f>IF(INDEX(BudgetCat,9)=0,"",INDEX(BudgetCat,9))</f>
        <v/>
      </c>
      <c r="C17" s="41">
        <f t="shared" si="0"/>
        <v>0</v>
      </c>
      <c r="D17" s="35">
        <v>0</v>
      </c>
      <c r="E17" s="42">
        <f t="shared" si="1"/>
        <v>0</v>
      </c>
      <c r="F17" s="38" t="e">
        <f t="shared" si="2"/>
        <v>#DIV/0!</v>
      </c>
    </row>
    <row r="18" spans="2:6" x14ac:dyDescent="0.25">
      <c r="B18" s="14" t="str">
        <f>IF(INDEX(BudgetCat,10)=0,"",INDEX(BudgetCat,10))</f>
        <v/>
      </c>
      <c r="C18" s="41">
        <f t="shared" si="0"/>
        <v>0</v>
      </c>
      <c r="D18" s="35">
        <v>0</v>
      </c>
      <c r="E18" s="42">
        <f t="shared" si="1"/>
        <v>0</v>
      </c>
      <c r="F18" s="38" t="e">
        <f t="shared" si="2"/>
        <v>#DIV/0!</v>
      </c>
    </row>
    <row r="19" spans="2:6" x14ac:dyDescent="0.25">
      <c r="B19" s="14" t="str">
        <f>IF(INDEX(BudgetCat,11)=0,"",INDEX(BudgetCat,11))</f>
        <v/>
      </c>
      <c r="C19" s="41">
        <f t="shared" si="0"/>
        <v>0</v>
      </c>
      <c r="D19" s="35">
        <v>0</v>
      </c>
      <c r="E19" s="42">
        <f t="shared" si="1"/>
        <v>0</v>
      </c>
      <c r="F19" s="38" t="e">
        <f t="shared" si="2"/>
        <v>#DIV/0!</v>
      </c>
    </row>
    <row r="20" spans="2:6" x14ac:dyDescent="0.25">
      <c r="B20" s="14" t="str">
        <f>IF(INDEX(BudgetCat,12)=0,"",INDEX(BudgetCat,12))</f>
        <v/>
      </c>
      <c r="C20" s="41">
        <f t="shared" si="0"/>
        <v>0</v>
      </c>
      <c r="D20" s="35">
        <v>0</v>
      </c>
      <c r="E20" s="42">
        <f t="shared" si="1"/>
        <v>0</v>
      </c>
      <c r="F20" s="38" t="e">
        <f t="shared" si="2"/>
        <v>#DIV/0!</v>
      </c>
    </row>
    <row r="21" spans="2:6" x14ac:dyDescent="0.25">
      <c r="B21" s="14" t="str">
        <f>IF(INDEX(BudgetCat,13)=0,"",INDEX(BudgetCat,13))</f>
        <v/>
      </c>
      <c r="C21" s="41">
        <f t="shared" si="0"/>
        <v>0</v>
      </c>
      <c r="D21" s="35">
        <v>0</v>
      </c>
      <c r="E21" s="42">
        <f t="shared" si="1"/>
        <v>0</v>
      </c>
      <c r="F21" s="38" t="e">
        <f t="shared" si="2"/>
        <v>#DIV/0!</v>
      </c>
    </row>
    <row r="22" spans="2:6" x14ac:dyDescent="0.25">
      <c r="B22" s="14" t="str">
        <f>IF(INDEX(BudgetCat,14)=0,"",INDEX(BudgetCat,14))</f>
        <v/>
      </c>
      <c r="C22" s="41">
        <f t="shared" si="0"/>
        <v>0</v>
      </c>
      <c r="D22" s="35">
        <v>0</v>
      </c>
      <c r="E22" s="42">
        <f t="shared" si="1"/>
        <v>0</v>
      </c>
      <c r="F22" s="38" t="e">
        <f t="shared" si="2"/>
        <v>#DIV/0!</v>
      </c>
    </row>
    <row r="23" spans="2:6" x14ac:dyDescent="0.25">
      <c r="B23" s="14" t="str">
        <f>IF(INDEX(BudgetCat,15)=0,"",INDEX(BudgetCat,15))</f>
        <v/>
      </c>
      <c r="C23" s="41">
        <f t="shared" si="0"/>
        <v>0</v>
      </c>
      <c r="D23" s="35">
        <v>0</v>
      </c>
      <c r="E23" s="42">
        <f t="shared" si="1"/>
        <v>0</v>
      </c>
      <c r="F23" s="38" t="e">
        <f t="shared" si="2"/>
        <v>#DIV/0!</v>
      </c>
    </row>
    <row r="24" spans="2:6" x14ac:dyDescent="0.25">
      <c r="B24" s="14" t="str">
        <f>IF(INDEX(BudgetCat,16)=0,"",INDEX(BudgetCat,16))</f>
        <v/>
      </c>
      <c r="C24" s="41">
        <f t="shared" si="0"/>
        <v>0</v>
      </c>
      <c r="D24" s="35">
        <v>0</v>
      </c>
      <c r="E24" s="42">
        <f t="shared" si="1"/>
        <v>0</v>
      </c>
      <c r="F24" s="38" t="e">
        <f t="shared" si="2"/>
        <v>#DIV/0!</v>
      </c>
    </row>
    <row r="25" spans="2:6" x14ac:dyDescent="0.25">
      <c r="B25" s="14" t="str">
        <f>IF(INDEX(BudgetCat,17)=0,"",INDEX(BudgetCat,17))</f>
        <v/>
      </c>
      <c r="C25" s="41">
        <f t="shared" si="0"/>
        <v>0</v>
      </c>
      <c r="D25" s="35">
        <v>0</v>
      </c>
      <c r="E25" s="42">
        <f t="shared" si="1"/>
        <v>0</v>
      </c>
      <c r="F25" s="38" t="e">
        <f t="shared" si="2"/>
        <v>#DIV/0!</v>
      </c>
    </row>
    <row r="26" spans="2:6" x14ac:dyDescent="0.25">
      <c r="B26" s="14" t="str">
        <f>IF(INDEX(BudgetCat,18)=0,"",INDEX(BudgetCat,18))</f>
        <v/>
      </c>
      <c r="C26" s="41">
        <f t="shared" si="0"/>
        <v>0</v>
      </c>
      <c r="D26" s="35">
        <v>0</v>
      </c>
      <c r="E26" s="42">
        <f t="shared" si="1"/>
        <v>0</v>
      </c>
      <c r="F26" s="38" t="e">
        <f t="shared" si="2"/>
        <v>#DIV/0!</v>
      </c>
    </row>
    <row r="27" spans="2:6" x14ac:dyDescent="0.25">
      <c r="B27" s="14" t="str">
        <f>IF(INDEX(BudgetCat,19)=0,"",INDEX(BudgetCat,19))</f>
        <v/>
      </c>
      <c r="C27" s="41">
        <f t="shared" si="0"/>
        <v>0</v>
      </c>
      <c r="D27" s="35">
        <v>0</v>
      </c>
      <c r="E27" s="42">
        <f t="shared" si="1"/>
        <v>0</v>
      </c>
      <c r="F27" s="38" t="e">
        <f t="shared" si="2"/>
        <v>#DIV/0!</v>
      </c>
    </row>
    <row r="28" spans="2:6" ht="15.75" thickBot="1" x14ac:dyDescent="0.3">
      <c r="B28" s="15" t="str">
        <f>IF(INDEX(BudgetCat,20)=0,"",INDEX(BudgetCat,20))</f>
        <v/>
      </c>
      <c r="C28" s="75">
        <f t="shared" si="0"/>
        <v>0</v>
      </c>
      <c r="D28" s="39">
        <v>0</v>
      </c>
      <c r="E28" s="43">
        <f t="shared" si="1"/>
        <v>0</v>
      </c>
      <c r="F28" s="40" t="e">
        <f t="shared" si="2"/>
        <v>#DIV/0!</v>
      </c>
    </row>
    <row r="29" spans="2:6" ht="15.75" thickBot="1" x14ac:dyDescent="0.3">
      <c r="D29" s="24" t="s">
        <v>78</v>
      </c>
      <c r="E29" s="37">
        <f>SUM(E9:E22)</f>
        <v>0</v>
      </c>
    </row>
  </sheetData>
  <sheetProtection autoFilter="0"/>
  <protectedRanges>
    <protectedRange sqref="C3:C4" name="Range1"/>
  </protectedRanges>
  <conditionalFormatting sqref="E9:E28">
    <cfRule type="dataBar" priority="2">
      <dataBar>
        <cfvo type="min"/>
        <cfvo type="max"/>
        <color rgb="FF63C384"/>
      </dataBar>
      <extLst>
        <ext xmlns:x14="http://schemas.microsoft.com/office/spreadsheetml/2009/9/main" uri="{B025F937-C7B1-47D3-B67F-A62EFF666E3E}">
          <x14:id>{E4610CC6-773E-4EBC-994C-0A6B86EFC3F0}</x14:id>
        </ext>
      </extLst>
    </cfRule>
  </conditionalFormatting>
  <conditionalFormatting sqref="F9:F28">
    <cfRule type="colorScale" priority="1">
      <colorScale>
        <cfvo type="min"/>
        <cfvo type="max"/>
        <color rgb="FFFCFCFF"/>
        <color rgb="FFF8696B"/>
      </colorScale>
    </cfRule>
  </conditionalFormatting>
  <dataValidations count="2">
    <dataValidation type="list" allowBlank="1" showInputMessage="1" showErrorMessage="1" sqref="C3" xr:uid="{248DEA84-AE33-4BBB-B72B-325883EAFA31}">
      <formula1>Year_List</formula1>
    </dataValidation>
    <dataValidation type="list" allowBlank="1" showInputMessage="1" showErrorMessage="1" sqref="C4" xr:uid="{F7BCA76A-C0A2-4F94-9BA8-D8B12E256A4A}">
      <formula1>Month_List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1" r:id="rId3" name="Button 9">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10CC6-773E-4EBC-994C-0A6B86EFC3F0}">
            <x14:dataBar minLength="0" maxLength="100" gradient="0">
              <x14:cfvo type="autoMin"/>
              <x14:cfvo type="autoMax"/>
              <x14:negativeFillColor rgb="FFFF0000"/>
              <x14:axisColor rgb="FF000000"/>
            </x14:dataBar>
          </x14:cfRule>
          <xm:sqref>E9:E28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D22-3E8D-49B3-9B13-9E99D1ABAB91}">
  <sheetPr codeName="Sheet10"/>
  <dimension ref="B1:M21"/>
  <sheetViews>
    <sheetView showGridLines="0" topLeftCell="A7" workbookViewId="0">
      <selection activeCell="I13" sqref="I13"/>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87</v>
      </c>
    </row>
    <row r="3" spans="2:13" s="3" customFormat="1" x14ac:dyDescent="0.25">
      <c r="B3" s="44" t="s">
        <v>72</v>
      </c>
      <c r="C3" s="49" t="s">
        <v>81</v>
      </c>
    </row>
    <row r="4" spans="2:13" s="7" customFormat="1" x14ac:dyDescent="0.25">
      <c r="B4" s="70" t="s">
        <v>88</v>
      </c>
      <c r="C4" s="50" t="s">
        <v>81</v>
      </c>
    </row>
    <row r="5" spans="2:13" ht="15.75" thickBot="1" x14ac:dyDescent="0.3"/>
    <row r="6" spans="2:13" ht="24" thickBot="1" x14ac:dyDescent="0.4">
      <c r="B6" s="33" t="s">
        <v>58</v>
      </c>
      <c r="C6" s="30">
        <f>IF($C$3="All",
IF($C$4="All",SUM(INDEX(ExpenseList,,3)),
SUMIFS(INDEX(ExpenseList,,3),INDEX(ExpenseList,,6),$C$4)),
IF($C$4="All",SUMIFS(INDEX(ExpenseList,,3),INDEX(ExpenseList,,14),$C$3),
SUMIFS(INDEX(ExpenseList,,3),INDEX(ExpenseList,,6),$C$4,INDEX(ExpenseList,,14),$C$3)))</f>
        <v>0</v>
      </c>
    </row>
    <row r="7" spans="2:13" ht="15.75" thickBot="1" x14ac:dyDescent="0.3">
      <c r="H7" s="36"/>
    </row>
    <row r="8" spans="2:13" ht="15.75" thickBot="1" x14ac:dyDescent="0.3">
      <c r="B8" s="76" t="s">
        <v>6</v>
      </c>
      <c r="C8" s="77" t="s">
        <v>77</v>
      </c>
      <c r="D8" s="77" t="s">
        <v>76</v>
      </c>
      <c r="E8" s="77" t="s">
        <v>79</v>
      </c>
      <c r="F8" s="78" t="s">
        <v>80</v>
      </c>
      <c r="H8" s="36" t="s">
        <v>3</v>
      </c>
      <c r="I8" s="56" t="s">
        <v>2</v>
      </c>
      <c r="J8" s="53" t="s">
        <v>5</v>
      </c>
      <c r="K8" s="36" t="s">
        <v>6</v>
      </c>
      <c r="L8" s="36" t="s">
        <v>1</v>
      </c>
      <c r="M8" s="36" t="s">
        <v>16</v>
      </c>
    </row>
    <row r="9" spans="2:13" x14ac:dyDescent="0.25">
      <c r="B9" s="31" t="s">
        <v>59</v>
      </c>
      <c r="C9" s="72">
        <f t="shared" ref="C9:C20" si="0">IF(B9="",0,IF($C$3="All",
IF($C$4="All",SUMIFS(INDEX(ExpenseList,,3),INDEX(ExpenseList,,13),B9),
SUMIFS(INDEX(ExpenseList,,3),INDEX(ExpenseList,,13),B9,INDEX(ExpenseList,,6),$C$4)),
IF($C$4="All",SUMIFS(INDEX(ExpenseList,,3),INDEX(ExpenseList,,13),B9,INDEX(ExpenseList,,14),$C$3),
SUMIFS(INDEX(ExpenseList,,3),INDEX(ExpenseList,,13),B9,INDEX(ExpenseList,,6),$C$4,INDEX(ExpenseList,,14),$C$3))))</f>
        <v>0</v>
      </c>
      <c r="D9" s="72" t="e">
        <f>INDEX('Main Tab'!$F$11:$G$30,MATCH('Category Dashboard'!$C$4,'Main Tab'!$F$11:$F$30,0),2)</f>
        <v>#N/A</v>
      </c>
      <c r="E9" s="73" t="e">
        <f>D9-C9</f>
        <v>#N/A</v>
      </c>
      <c r="F9" s="74" t="e">
        <f>IF(C9/$C$6=0,"",C9/$C$6)</f>
        <v>#DIV/0!</v>
      </c>
      <c r="H9" s="54"/>
      <c r="I9" s="34"/>
    </row>
    <row r="10" spans="2:13" x14ac:dyDescent="0.25">
      <c r="B10" s="14" t="s">
        <v>60</v>
      </c>
      <c r="C10" s="35">
        <f t="shared" si="0"/>
        <v>0</v>
      </c>
      <c r="D10" s="35" t="e">
        <f>INDEX('Main Tab'!$F$11:$G$30,MATCH('Category Dashboard'!$C$4,'Main Tab'!$F$11:$F$30,0),2)</f>
        <v>#N/A</v>
      </c>
      <c r="E10" s="42" t="e">
        <f t="shared" ref="E10:E20" si="1">D10-C10</f>
        <v>#N/A</v>
      </c>
      <c r="F10" s="38" t="e">
        <f t="shared" ref="F10:F20" si="2">IF(C10/$C$6=0,"",C10/$C$6)</f>
        <v>#DIV/0!</v>
      </c>
    </row>
    <row r="11" spans="2:13" x14ac:dyDescent="0.25">
      <c r="B11" s="14" t="s">
        <v>61</v>
      </c>
      <c r="C11" s="35">
        <f t="shared" si="0"/>
        <v>0</v>
      </c>
      <c r="D11" s="35" t="e">
        <f>INDEX('Main Tab'!$F$11:$G$30,MATCH('Category Dashboard'!$C$4,'Main Tab'!$F$11:$F$30,0),2)</f>
        <v>#N/A</v>
      </c>
      <c r="E11" s="42" t="e">
        <f t="shared" si="1"/>
        <v>#N/A</v>
      </c>
      <c r="F11" s="38" t="e">
        <f t="shared" si="2"/>
        <v>#DIV/0!</v>
      </c>
    </row>
    <row r="12" spans="2:13" x14ac:dyDescent="0.25">
      <c r="B12" s="14" t="s">
        <v>62</v>
      </c>
      <c r="C12" s="35">
        <f t="shared" si="0"/>
        <v>0</v>
      </c>
      <c r="D12" s="35" t="e">
        <f>INDEX('Main Tab'!$F$11:$G$30,MATCH('Category Dashboard'!$C$4,'Main Tab'!$F$11:$F$30,0),2)</f>
        <v>#N/A</v>
      </c>
      <c r="E12" s="42" t="e">
        <f t="shared" si="1"/>
        <v>#N/A</v>
      </c>
      <c r="F12" s="38" t="e">
        <f t="shared" si="2"/>
        <v>#DIV/0!</v>
      </c>
    </row>
    <row r="13" spans="2:13" x14ac:dyDescent="0.25">
      <c r="B13" s="14" t="s">
        <v>63</v>
      </c>
      <c r="C13" s="35">
        <f t="shared" si="0"/>
        <v>0</v>
      </c>
      <c r="D13" s="35" t="e">
        <f>INDEX('Main Tab'!$F$11:$G$30,MATCH('Category Dashboard'!$C$4,'Main Tab'!$F$11:$F$30,0),2)</f>
        <v>#N/A</v>
      </c>
      <c r="E13" s="42" t="e">
        <f t="shared" si="1"/>
        <v>#N/A</v>
      </c>
      <c r="F13" s="38" t="e">
        <f t="shared" si="2"/>
        <v>#DIV/0!</v>
      </c>
    </row>
    <row r="14" spans="2:13" x14ac:dyDescent="0.25">
      <c r="B14" s="14" t="s">
        <v>64</v>
      </c>
      <c r="C14" s="35">
        <f t="shared" si="0"/>
        <v>0</v>
      </c>
      <c r="D14" s="35" t="e">
        <f>INDEX('Main Tab'!$F$11:$G$30,MATCH('Category Dashboard'!$C$4,'Main Tab'!$F$11:$F$30,0),2)</f>
        <v>#N/A</v>
      </c>
      <c r="E14" s="42" t="e">
        <f t="shared" si="1"/>
        <v>#N/A</v>
      </c>
      <c r="F14" s="38" t="e">
        <f t="shared" si="2"/>
        <v>#DIV/0!</v>
      </c>
    </row>
    <row r="15" spans="2:13" x14ac:dyDescent="0.25">
      <c r="B15" s="14" t="s">
        <v>65</v>
      </c>
      <c r="C15" s="35">
        <f t="shared" si="0"/>
        <v>0</v>
      </c>
      <c r="D15" s="35" t="e">
        <f>INDEX('Main Tab'!$F$11:$G$30,MATCH('Category Dashboard'!$C$4,'Main Tab'!$F$11:$F$30,0),2)</f>
        <v>#N/A</v>
      </c>
      <c r="E15" s="42" t="e">
        <f t="shared" si="1"/>
        <v>#N/A</v>
      </c>
      <c r="F15" s="38" t="e">
        <f t="shared" si="2"/>
        <v>#DIV/0!</v>
      </c>
    </row>
    <row r="16" spans="2:13" x14ac:dyDescent="0.25">
      <c r="B16" s="14" t="s">
        <v>66</v>
      </c>
      <c r="C16" s="35">
        <f t="shared" si="0"/>
        <v>0</v>
      </c>
      <c r="D16" s="35" t="e">
        <f>INDEX('Main Tab'!$F$11:$G$30,MATCH('Category Dashboard'!$C$4,'Main Tab'!$F$11:$F$30,0),2)</f>
        <v>#N/A</v>
      </c>
      <c r="E16" s="42" t="e">
        <f t="shared" si="1"/>
        <v>#N/A</v>
      </c>
      <c r="F16" s="38" t="e">
        <f t="shared" si="2"/>
        <v>#DIV/0!</v>
      </c>
    </row>
    <row r="17" spans="2:6" x14ac:dyDescent="0.25">
      <c r="B17" s="14" t="s">
        <v>67</v>
      </c>
      <c r="C17" s="35">
        <f t="shared" si="0"/>
        <v>0</v>
      </c>
      <c r="D17" s="35" t="e">
        <f>INDEX('Main Tab'!$F$11:$G$30,MATCH('Category Dashboard'!$C$4,'Main Tab'!$F$11:$F$30,0),2)</f>
        <v>#N/A</v>
      </c>
      <c r="E17" s="42" t="e">
        <f t="shared" si="1"/>
        <v>#N/A</v>
      </c>
      <c r="F17" s="38" t="e">
        <f t="shared" si="2"/>
        <v>#DIV/0!</v>
      </c>
    </row>
    <row r="18" spans="2:6" x14ac:dyDescent="0.25">
      <c r="B18" s="14" t="s">
        <v>68</v>
      </c>
      <c r="C18" s="35">
        <f t="shared" si="0"/>
        <v>0</v>
      </c>
      <c r="D18" s="35" t="e">
        <f>INDEX('Main Tab'!$F$11:$G$30,MATCH('Category Dashboard'!$C$4,'Main Tab'!$F$11:$F$30,0),2)</f>
        <v>#N/A</v>
      </c>
      <c r="E18" s="42" t="e">
        <f t="shared" si="1"/>
        <v>#N/A</v>
      </c>
      <c r="F18" s="38" t="e">
        <f t="shared" si="2"/>
        <v>#DIV/0!</v>
      </c>
    </row>
    <row r="19" spans="2:6" x14ac:dyDescent="0.25">
      <c r="B19" s="14" t="s">
        <v>69</v>
      </c>
      <c r="C19" s="35">
        <f t="shared" si="0"/>
        <v>0</v>
      </c>
      <c r="D19" s="35" t="e">
        <f>INDEX('Main Tab'!$F$11:$G$30,MATCH('Category Dashboard'!$C$4,'Main Tab'!$F$11:$F$30,0),2)</f>
        <v>#N/A</v>
      </c>
      <c r="E19" s="42" t="e">
        <f t="shared" si="1"/>
        <v>#N/A</v>
      </c>
      <c r="F19" s="38" t="e">
        <f t="shared" si="2"/>
        <v>#DIV/0!</v>
      </c>
    </row>
    <row r="20" spans="2:6" ht="15.75" thickBot="1" x14ac:dyDescent="0.3">
      <c r="B20" s="15" t="s">
        <v>70</v>
      </c>
      <c r="C20" s="39">
        <f t="shared" si="0"/>
        <v>0</v>
      </c>
      <c r="D20" s="39" t="e">
        <f>INDEX('Main Tab'!$F$11:$G$30,MATCH('Category Dashboard'!$C$4,'Main Tab'!$F$11:$F$30,0),2)</f>
        <v>#N/A</v>
      </c>
      <c r="E20" s="43" t="e">
        <f t="shared" si="1"/>
        <v>#N/A</v>
      </c>
      <c r="F20" s="40" t="e">
        <f t="shared" si="2"/>
        <v>#DIV/0!</v>
      </c>
    </row>
    <row r="21" spans="2:6" ht="15.75" thickBot="1" x14ac:dyDescent="0.3">
      <c r="B21" s="80" t="s">
        <v>90</v>
      </c>
      <c r="C21" s="81">
        <f>SUM(C9:C20)/COUNT(C9:C20)</f>
        <v>0</v>
      </c>
      <c r="D21" s="24" t="s">
        <v>78</v>
      </c>
      <c r="E21" s="37" t="e">
        <f>SUM(E9:E20)</f>
        <v>#N/A</v>
      </c>
      <c r="F21" s="79"/>
    </row>
  </sheetData>
  <sheetProtection sheet="1" objects="1" scenarios="1" autoFilter="0"/>
  <protectedRanges>
    <protectedRange sqref="C3:C4" name="Range1"/>
  </protectedRanges>
  <conditionalFormatting sqref="E9:E20">
    <cfRule type="dataBar" priority="5">
      <dataBar>
        <cfvo type="min"/>
        <cfvo type="max"/>
        <color rgb="FF63C384"/>
      </dataBar>
      <extLst>
        <ext xmlns:x14="http://schemas.microsoft.com/office/spreadsheetml/2009/9/main" uri="{B025F937-C7B1-47D3-B67F-A62EFF666E3E}">
          <x14:id>{776B2BC4-66D8-4406-AEE5-A0A780F9BBF1}</x14:id>
        </ext>
      </extLst>
    </cfRule>
  </conditionalFormatting>
  <conditionalFormatting sqref="F9:F21">
    <cfRule type="colorScale" priority="6">
      <colorScale>
        <cfvo type="min"/>
        <cfvo type="max"/>
        <color rgb="FFFCFCFF"/>
        <color rgb="FFF8696B"/>
      </colorScale>
    </cfRule>
  </conditionalFormatting>
  <dataValidations count="2">
    <dataValidation type="list" allowBlank="1" showInputMessage="1" showErrorMessage="1" sqref="C4" xr:uid="{A529442D-9B0A-4A46-8F9E-45E41966C2EF}">
      <formula1>Cat_List</formula1>
    </dataValidation>
    <dataValidation type="list" allowBlank="1" showInputMessage="1" showErrorMessage="1" sqref="C3" xr:uid="{B48DB9A7-FDDB-4069-8CD7-5055A27B64CA}">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76B2BC4-66D8-4406-AEE5-A0A780F9BBF1}">
            <x14:dataBar minLength="0" maxLength="100" gradient="0">
              <x14:cfvo type="autoMin"/>
              <x14:cfvo type="autoMax"/>
              <x14:negativeFillColor rgb="FFFF0000"/>
              <x14:axisColor rgb="FF000000"/>
            </x14:dataBar>
          </x14:cfRule>
          <xm:sqref>E9:E20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0F31D-02E4-400D-9405-E29DE91526E8}">
  <sheetPr codeName="Sheet1"/>
  <dimension ref="B1:R42"/>
  <sheetViews>
    <sheetView showGridLines="0" workbookViewId="0">
      <selection activeCell="C14" sqref="C14"/>
    </sheetView>
  </sheetViews>
  <sheetFormatPr defaultRowHeight="15" x14ac:dyDescent="0.25"/>
  <cols>
    <col min="2" max="2" width="25.85546875" customWidth="1"/>
    <col min="3" max="3" width="24" customWidth="1"/>
    <col min="4" max="4" width="51.85546875" customWidth="1"/>
    <col min="5" max="5" width="10.85546875" customWidth="1"/>
    <col min="6" max="6" width="7.28515625" customWidth="1"/>
    <col min="7" max="7" width="6.140625"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83</v>
      </c>
      <c r="C2" s="47"/>
    </row>
    <row r="3" spans="2:13" s="3" customFormat="1" x14ac:dyDescent="0.25">
      <c r="B3" s="48" t="s">
        <v>72</v>
      </c>
      <c r="C3" s="49" t="s">
        <v>81</v>
      </c>
    </row>
    <row r="4" spans="2:13" s="7" customFormat="1" x14ac:dyDescent="0.25"/>
    <row r="5" spans="2:13" ht="15.75" thickBot="1" x14ac:dyDescent="0.3">
      <c r="D5" s="46"/>
    </row>
    <row r="6" spans="2:13" ht="24" thickBot="1" x14ac:dyDescent="0.4">
      <c r="B6" s="33" t="s">
        <v>58</v>
      </c>
      <c r="C6" s="30">
        <f>IF($C$3="All",SUM(INDEX(ExpenseList,,3)),SUMIF(INDEX(ExpenseList,,14),$C$3,INDEX(ExpenseList,,3)))</f>
        <v>0</v>
      </c>
    </row>
    <row r="7" spans="2:13" ht="15.75" thickBot="1" x14ac:dyDescent="0.3"/>
    <row r="8" spans="2:13" ht="15.75" thickBot="1" x14ac:dyDescent="0.3">
      <c r="B8" s="17" t="s">
        <v>71</v>
      </c>
      <c r="C8" s="18" t="s">
        <v>77</v>
      </c>
      <c r="H8" s="60" t="s">
        <v>3</v>
      </c>
      <c r="I8" s="61" t="s">
        <v>2</v>
      </c>
      <c r="J8" s="62" t="s">
        <v>5</v>
      </c>
      <c r="K8" s="63" t="s">
        <v>6</v>
      </c>
      <c r="L8" s="63" t="s">
        <v>1</v>
      </c>
      <c r="M8" s="64" t="s">
        <v>16</v>
      </c>
    </row>
    <row r="9" spans="2:13" x14ac:dyDescent="0.25">
      <c r="B9" s="16" t="s">
        <v>59</v>
      </c>
      <c r="C9" s="19">
        <f t="shared" ref="C9:C20" si="0">IF($C$3="All",SUMIFS(INDEX(ExpenseList,,3),INDEX(ExpenseList,,13),B9),SUMIFS(INDEX(ExpenseList,,3),INDEX(ExpenseList,,13),B9,INDEX(ExpenseList,,14),$C$3))</f>
        <v>0</v>
      </c>
      <c r="H9" s="54"/>
      <c r="I9" s="55"/>
    </row>
    <row r="10" spans="2:13" x14ac:dyDescent="0.25">
      <c r="B10" s="14" t="s">
        <v>60</v>
      </c>
      <c r="C10" s="20">
        <f t="shared" si="0"/>
        <v>0</v>
      </c>
    </row>
    <row r="11" spans="2:13" x14ac:dyDescent="0.25">
      <c r="B11" s="14" t="s">
        <v>61</v>
      </c>
      <c r="C11" s="20">
        <f t="shared" si="0"/>
        <v>0</v>
      </c>
    </row>
    <row r="12" spans="2:13" x14ac:dyDescent="0.25">
      <c r="B12" s="14" t="s">
        <v>62</v>
      </c>
      <c r="C12" s="20">
        <f t="shared" si="0"/>
        <v>0</v>
      </c>
    </row>
    <row r="13" spans="2:13" x14ac:dyDescent="0.25">
      <c r="B13" s="14" t="s">
        <v>63</v>
      </c>
      <c r="C13" s="20">
        <f t="shared" si="0"/>
        <v>0</v>
      </c>
    </row>
    <row r="14" spans="2:13" x14ac:dyDescent="0.25">
      <c r="B14" s="14" t="s">
        <v>64</v>
      </c>
      <c r="C14" s="20">
        <f t="shared" si="0"/>
        <v>0</v>
      </c>
    </row>
    <row r="15" spans="2:13" x14ac:dyDescent="0.25">
      <c r="B15" s="14" t="s">
        <v>65</v>
      </c>
      <c r="C15" s="20">
        <f t="shared" si="0"/>
        <v>0</v>
      </c>
    </row>
    <row r="16" spans="2:13" x14ac:dyDescent="0.25">
      <c r="B16" s="14" t="s">
        <v>66</v>
      </c>
      <c r="C16" s="20">
        <f t="shared" si="0"/>
        <v>0</v>
      </c>
    </row>
    <row r="17" spans="2:18" x14ac:dyDescent="0.25">
      <c r="B17" s="14" t="s">
        <v>67</v>
      </c>
      <c r="C17" s="20">
        <f t="shared" si="0"/>
        <v>0</v>
      </c>
    </row>
    <row r="18" spans="2:18" x14ac:dyDescent="0.25">
      <c r="B18" s="14" t="s">
        <v>68</v>
      </c>
      <c r="C18" s="20">
        <f t="shared" si="0"/>
        <v>0</v>
      </c>
    </row>
    <row r="19" spans="2:18" x14ac:dyDescent="0.25">
      <c r="B19" s="14" t="s">
        <v>69</v>
      </c>
      <c r="C19" s="20">
        <f t="shared" si="0"/>
        <v>0</v>
      </c>
    </row>
    <row r="20" spans="2:18" ht="15.75" thickBot="1" x14ac:dyDescent="0.3">
      <c r="B20" s="15" t="s">
        <v>70</v>
      </c>
      <c r="C20" s="21">
        <f t="shared" si="0"/>
        <v>0</v>
      </c>
      <c r="R20" s="45"/>
    </row>
    <row r="21" spans="2:18" ht="15.75" thickBot="1" x14ac:dyDescent="0.3"/>
    <row r="22" spans="2:18" ht="15.75" thickBot="1" x14ac:dyDescent="0.3">
      <c r="B22" s="17" t="s">
        <v>6</v>
      </c>
      <c r="C22" s="18" t="s">
        <v>77</v>
      </c>
    </row>
    <row r="23" spans="2:18" x14ac:dyDescent="0.25">
      <c r="B23" s="31" t="str">
        <f>IF(INDEX(BudgetCat,1)=0,"",INDEX(BudgetCat,1))</f>
        <v/>
      </c>
      <c r="C23" s="32">
        <f t="shared" ref="C23:C42" si="1">IF(B23="", 0, IF($C$3="All",SUMIFS(INDEX(ExpenseList,,3),INDEX(ExpenseList,,6),B23),SUMIFS(INDEX(ExpenseList,,3),INDEX(ExpenseList,,6),B23,INDEX(ExpenseList,,14),$C$3)))</f>
        <v>0</v>
      </c>
    </row>
    <row r="24" spans="2:18" x14ac:dyDescent="0.25">
      <c r="B24" s="14" t="str">
        <f>IF(INDEX(BudgetCat,2)=0,"",INDEX(BudgetCat,2))</f>
        <v/>
      </c>
      <c r="C24" s="20">
        <f t="shared" si="1"/>
        <v>0</v>
      </c>
    </row>
    <row r="25" spans="2:18" x14ac:dyDescent="0.25">
      <c r="B25" s="14" t="str">
        <f>IF(INDEX(BudgetCat,3)=0,"",INDEX(BudgetCat,3))</f>
        <v/>
      </c>
      <c r="C25" s="20">
        <f t="shared" si="1"/>
        <v>0</v>
      </c>
    </row>
    <row r="26" spans="2:18" x14ac:dyDescent="0.25">
      <c r="B26" s="14" t="str">
        <f>IF(INDEX(BudgetCat,4)=0,"",INDEX(BudgetCat,4))</f>
        <v/>
      </c>
      <c r="C26" s="20">
        <f t="shared" si="1"/>
        <v>0</v>
      </c>
    </row>
    <row r="27" spans="2:18" x14ac:dyDescent="0.25">
      <c r="B27" s="14" t="str">
        <f>IF(INDEX(BudgetCat,5)=0,"",INDEX(BudgetCat,5))</f>
        <v/>
      </c>
      <c r="C27" s="20">
        <f t="shared" si="1"/>
        <v>0</v>
      </c>
    </row>
    <row r="28" spans="2:18" x14ac:dyDescent="0.25">
      <c r="B28" s="14" t="str">
        <f>IF(INDEX(BudgetCat,6)=0,"",INDEX(BudgetCat,6))</f>
        <v/>
      </c>
      <c r="C28" s="20">
        <f t="shared" si="1"/>
        <v>0</v>
      </c>
    </row>
    <row r="29" spans="2:18" x14ac:dyDescent="0.25">
      <c r="B29" s="14" t="str">
        <f>IF(INDEX(BudgetCat,7)=0,"",INDEX(BudgetCat,7))</f>
        <v/>
      </c>
      <c r="C29" s="20">
        <f t="shared" si="1"/>
        <v>0</v>
      </c>
    </row>
    <row r="30" spans="2:18" x14ac:dyDescent="0.25">
      <c r="B30" s="14" t="str">
        <f>IF(INDEX(BudgetCat,8)=0,"",INDEX(BudgetCat,8))</f>
        <v/>
      </c>
      <c r="C30" s="20">
        <f t="shared" si="1"/>
        <v>0</v>
      </c>
    </row>
    <row r="31" spans="2:18" x14ac:dyDescent="0.25">
      <c r="B31" s="14" t="str">
        <f>IF(INDEX(BudgetCat,9)=0,"",INDEX(BudgetCat,9))</f>
        <v/>
      </c>
      <c r="C31" s="20">
        <f t="shared" si="1"/>
        <v>0</v>
      </c>
    </row>
    <row r="32" spans="2:18" x14ac:dyDescent="0.25">
      <c r="B32" s="14" t="str">
        <f>IF(INDEX(BudgetCat,10)=0,"",INDEX(BudgetCat,10))</f>
        <v/>
      </c>
      <c r="C32" s="20">
        <f t="shared" si="1"/>
        <v>0</v>
      </c>
    </row>
    <row r="33" spans="2:3" x14ac:dyDescent="0.25">
      <c r="B33" s="14" t="str">
        <f>IF(INDEX(BudgetCat,11)=0,"",INDEX(BudgetCat,11))</f>
        <v/>
      </c>
      <c r="C33" s="20">
        <f t="shared" si="1"/>
        <v>0</v>
      </c>
    </row>
    <row r="34" spans="2:3" x14ac:dyDescent="0.25">
      <c r="B34" s="14" t="str">
        <f>IF(INDEX(BudgetCat,12)=0,"",INDEX(BudgetCat,12))</f>
        <v/>
      </c>
      <c r="C34" s="20">
        <f t="shared" si="1"/>
        <v>0</v>
      </c>
    </row>
    <row r="35" spans="2:3" x14ac:dyDescent="0.25">
      <c r="B35" s="14" t="str">
        <f>IF(INDEX(BudgetCat,13)=0,"",INDEX(BudgetCat,13))</f>
        <v/>
      </c>
      <c r="C35" s="20">
        <f t="shared" si="1"/>
        <v>0</v>
      </c>
    </row>
    <row r="36" spans="2:3" x14ac:dyDescent="0.25">
      <c r="B36" s="14" t="str">
        <f>IF(INDEX(BudgetCat,14)=0,"",INDEX(BudgetCat,14))</f>
        <v/>
      </c>
      <c r="C36" s="20">
        <f t="shared" si="1"/>
        <v>0</v>
      </c>
    </row>
    <row r="37" spans="2:3" x14ac:dyDescent="0.25">
      <c r="B37" s="14" t="str">
        <f>IF(INDEX(BudgetCat,15)=0,"",INDEX(BudgetCat,15))</f>
        <v/>
      </c>
      <c r="C37" s="20">
        <f t="shared" si="1"/>
        <v>0</v>
      </c>
    </row>
    <row r="38" spans="2:3" x14ac:dyDescent="0.25">
      <c r="B38" s="14" t="str">
        <f>IF(INDEX(BudgetCat,16)=0,"",INDEX(BudgetCat,16))</f>
        <v/>
      </c>
      <c r="C38" s="20">
        <f t="shared" si="1"/>
        <v>0</v>
      </c>
    </row>
    <row r="39" spans="2:3" x14ac:dyDescent="0.25">
      <c r="B39" s="14" t="str">
        <f>IF(INDEX(BudgetCat,17)=0,"",INDEX(BudgetCat,17))</f>
        <v/>
      </c>
      <c r="C39" s="20">
        <f t="shared" si="1"/>
        <v>0</v>
      </c>
    </row>
    <row r="40" spans="2:3" x14ac:dyDescent="0.25">
      <c r="B40" s="14" t="str">
        <f>IF(INDEX(BudgetCat,18)=0,"",INDEX(BudgetCat,18))</f>
        <v/>
      </c>
      <c r="C40" s="20">
        <f t="shared" si="1"/>
        <v>0</v>
      </c>
    </row>
    <row r="41" spans="2:3" x14ac:dyDescent="0.25">
      <c r="B41" s="14" t="str">
        <f>IF(INDEX(BudgetCat,19)=0,"",INDEX(BudgetCat,19))</f>
        <v/>
      </c>
      <c r="C41" s="20">
        <f t="shared" si="1"/>
        <v>0</v>
      </c>
    </row>
    <row r="42" spans="2:3" ht="15.75" thickBot="1" x14ac:dyDescent="0.3">
      <c r="B42" s="15" t="str">
        <f>IF(INDEX(BudgetCat,20)=0,"",INDEX(BudgetCat,20))</f>
        <v/>
      </c>
      <c r="C42" s="21">
        <f t="shared" si="1"/>
        <v>0</v>
      </c>
    </row>
  </sheetData>
  <sheetProtection sheet="1" objects="1" scenarios="1" autoFilter="0"/>
  <protectedRanges>
    <protectedRange sqref="C3" name="Range1"/>
  </protectedRanges>
  <phoneticPr fontId="8" type="noConversion"/>
  <dataValidations count="1">
    <dataValidation type="list" allowBlank="1" showInputMessage="1" showErrorMessage="1" sqref="C3" xr:uid="{F0742E68-B23F-4D19-B8F6-130A3216A5C3}">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ThisWorkbook.GetTransactions">
                <anchor moveWithCells="1">
                  <from>
                    <xdr:col>7</xdr:col>
                    <xdr:colOff>66675</xdr:colOff>
                    <xdr:row>5</xdr:row>
                    <xdr:rowOff>9525</xdr:rowOff>
                  </from>
                  <to>
                    <xdr:col>8</xdr:col>
                    <xdr:colOff>628650</xdr:colOff>
                    <xdr:row>6</xdr:row>
                    <xdr:rowOff>19050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3C798-5CBD-4F32-B9D8-27412402DB44}">
  <sheetPr codeName="Sheet11"/>
  <dimension ref="B1:N29"/>
  <sheetViews>
    <sheetView showGridLines="0" tabSelected="1" topLeftCell="A19" workbookViewId="0">
      <selection activeCell="E6" sqref="E6"/>
    </sheetView>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9" width="4.28515625" customWidth="1"/>
    <col min="10" max="10" width="25.85546875" customWidth="1"/>
    <col min="11" max="11" width="23.140625" customWidth="1"/>
    <col min="12" max="12" width="18.5703125" customWidth="1"/>
    <col min="13" max="13" width="19.140625" customWidth="1"/>
    <col min="14" max="14" width="19" bestFit="1" customWidth="1"/>
  </cols>
  <sheetData>
    <row r="1" spans="2:14" s="3" customFormat="1" x14ac:dyDescent="0.25"/>
    <row r="2" spans="2:14" s="3" customFormat="1" ht="36" x14ac:dyDescent="0.55000000000000004">
      <c r="B2" s="4" t="s">
        <v>537</v>
      </c>
    </row>
    <row r="3" spans="2:14" s="3" customFormat="1" x14ac:dyDescent="0.25">
      <c r="B3" s="44" t="s">
        <v>72</v>
      </c>
      <c r="C3" s="49" t="s">
        <v>81</v>
      </c>
      <c r="J3" s="44" t="s">
        <v>72</v>
      </c>
      <c r="K3" s="49" t="s">
        <v>81</v>
      </c>
    </row>
    <row r="4" spans="2:14" s="7" customFormat="1" x14ac:dyDescent="0.25">
      <c r="B4" s="70" t="s">
        <v>74</v>
      </c>
      <c r="C4" s="50" t="s">
        <v>81</v>
      </c>
      <c r="J4" s="70" t="s">
        <v>74</v>
      </c>
      <c r="K4" s="50" t="s">
        <v>81</v>
      </c>
    </row>
    <row r="5" spans="2:14" ht="15.75" thickBot="1" x14ac:dyDescent="0.3"/>
    <row r="6" spans="2:14" ht="24" thickBot="1" x14ac:dyDescent="0.4">
      <c r="B6" s="33" t="s">
        <v>58</v>
      </c>
      <c r="C6" s="30">
        <f>IF($C$3="All",
IF($C$4="All",SUM(INDEX(ExpenseList,,3)),
SUMIFS(INDEX(ExpenseList,,3),INDEX(ExpenseList,,13),$C$4)),
IF($C$4="All",SUMIFS(INDEX(ExpenseList,,3),INDEX(ExpenseList,,14),$C$3),
SUMIFS(INDEX(ExpenseList,,3),INDEX(ExpenseList,,13),$C$4,INDEX(ExpenseList,,14),$C$3)))</f>
        <v>0</v>
      </c>
      <c r="J6" s="33" t="s">
        <v>58</v>
      </c>
      <c r="K6" s="30">
        <f>IF($K$3="All",
IF($K$4="All",SUM(INDEX(ExpenseList,,3)),
SUMIFS(INDEX(ExpenseList,,3),INDEX(ExpenseList,,13),$K$4)),
IF($K$4="All",SUMIFS(INDEX(ExpenseList,,3),INDEX(ExpenseList,,14),$K$3),
SUMIFS(INDEX(ExpenseList,,3),INDEX(ExpenseList,,13),$K$4,INDEX(ExpenseList,,14),$K$3)))</f>
        <v>0</v>
      </c>
    </row>
    <row r="7" spans="2:14" ht="15.75" thickBot="1" x14ac:dyDescent="0.3">
      <c r="H7" s="36"/>
    </row>
    <row r="8" spans="2:14" ht="15.75" thickBot="1" x14ac:dyDescent="0.3">
      <c r="B8" s="57" t="s">
        <v>6</v>
      </c>
      <c r="C8" s="58" t="s">
        <v>77</v>
      </c>
      <c r="D8" s="58" t="s">
        <v>76</v>
      </c>
      <c r="E8" s="58" t="s">
        <v>79</v>
      </c>
      <c r="F8" s="59" t="s">
        <v>80</v>
      </c>
      <c r="H8" s="36"/>
      <c r="I8" s="56"/>
      <c r="J8" s="57" t="s">
        <v>6</v>
      </c>
      <c r="K8" s="58" t="s">
        <v>77</v>
      </c>
      <c r="L8" s="58" t="s">
        <v>76</v>
      </c>
      <c r="M8" s="58" t="s">
        <v>79</v>
      </c>
      <c r="N8" s="59" t="s">
        <v>80</v>
      </c>
    </row>
    <row r="9" spans="2:14"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c r="J9" s="31" t="str">
        <f>IF(INDEX(BudgetCat,1)=0,"",INDEX(BudgetCat,1))</f>
        <v/>
      </c>
      <c r="K9" s="72">
        <f>IF(J9="",0,IF($K$3="All",
IF($K$4="All",SUMIFS(INDEX(ExpenseList,,3),INDEX(ExpenseList,,6),J9),
SUMIFS(INDEX(ExpenseList,,3),INDEX(ExpenseList,,6),J9,INDEX(ExpenseList,,13),$K$4)),
IF($K$4="All",SUMIFS(INDEX(ExpenseList,,3),INDEX(ExpenseList,,6),J9,INDEX(ExpenseList,,14),$K$3),
SUMIFS(INDEX(ExpenseList,,3),INDEX(ExpenseList,,6),J9,INDEX(ExpenseList,,13),$K$4,INDEX(ExpenseList,,14),$K$3))))</f>
        <v>0</v>
      </c>
      <c r="L9" s="72" cm="1">
        <f t="array" ref="L9:L28">IF($K$4="All",INDEX(Budget,,2)*12,INDEX(Budget,,2))</f>
        <v>0</v>
      </c>
      <c r="M9" s="73">
        <f>L9-K9</f>
        <v>0</v>
      </c>
      <c r="N9" s="74" t="e">
        <f>IF(K9/$K$6=0,"",K9/$K$6)</f>
        <v>#DIV/0!</v>
      </c>
    </row>
    <row r="10" spans="2:14" x14ac:dyDescent="0.25">
      <c r="B10" s="14" t="str">
        <f>IF(INDEX(BudgetCat,2)=0,"",INDEX(BudgetCat,2))</f>
        <v/>
      </c>
      <c r="C10" s="41">
        <f t="shared" si="0"/>
        <v>0</v>
      </c>
      <c r="D10" s="35">
        <v>0</v>
      </c>
      <c r="E10" s="42">
        <f t="shared" ref="E10:E28" si="1">D10-C10</f>
        <v>0</v>
      </c>
      <c r="F10" s="38" t="e">
        <f t="shared" ref="F10:F28" si="2">IF(C10/$C$6=0,"",C10/$C$6)</f>
        <v>#DIV/0!</v>
      </c>
      <c r="J10" s="14" t="str">
        <f>IF(INDEX(BudgetCat,2)=0,"",INDEX(BudgetCat,2))</f>
        <v/>
      </c>
      <c r="K10" s="41">
        <f>IF(J10="",0,IF($K$3="All",
IF($K$4="All",SUMIFS(INDEX(ExpenseList,,3),INDEX(ExpenseList,,6),J10),
SUMIFS(INDEX(ExpenseList,,3),INDEX(ExpenseList,,6),J10,INDEX(ExpenseList,,13),$K$4)),
IF($K$4="All",SUMIFS(INDEX(ExpenseList,,3),INDEX(ExpenseList,,6),J10,INDEX(ExpenseList,,14),$K$3),
SUMIFS(INDEX(ExpenseList,,3),INDEX(ExpenseList,,6),J10,INDEX(ExpenseList,,13),$K$4,INDEX(ExpenseList,,14),$K$3))))</f>
        <v>0</v>
      </c>
      <c r="L10" s="35">
        <v>0</v>
      </c>
      <c r="M10" s="42">
        <f t="shared" ref="M10:M28" si="3">L10-K10</f>
        <v>0</v>
      </c>
      <c r="N10" s="38" t="e">
        <f t="shared" ref="N10:N28" si="4">IF(K10/$K$6=0,"",K10/$K$6)</f>
        <v>#DIV/0!</v>
      </c>
    </row>
    <row r="11" spans="2:14" x14ac:dyDescent="0.25">
      <c r="B11" s="14" t="str">
        <f>IF(INDEX(BudgetCat,3)=0,"",INDEX(BudgetCat,3))</f>
        <v/>
      </c>
      <c r="C11" s="41">
        <f t="shared" si="0"/>
        <v>0</v>
      </c>
      <c r="D11" s="35">
        <v>0</v>
      </c>
      <c r="E11" s="42">
        <f t="shared" si="1"/>
        <v>0</v>
      </c>
      <c r="F11" s="38" t="e">
        <f t="shared" si="2"/>
        <v>#DIV/0!</v>
      </c>
      <c r="J11" s="14" t="str">
        <f>IF(INDEX(BudgetCat,3)=0,"",INDEX(BudgetCat,3))</f>
        <v/>
      </c>
      <c r="K11" s="41">
        <f>IF(J11="",0,IF($K$3="All",
IF($K$4="All",SUMIFS(INDEX(ExpenseList,,3),INDEX(ExpenseList,,6),J11),
SUMIFS(INDEX(ExpenseList,,3),INDEX(ExpenseList,,6),J11,INDEX(ExpenseList,,13),$K$4)),
IF($K$4="All",SUMIFS(INDEX(ExpenseList,,3),INDEX(ExpenseList,,6),J11,INDEX(ExpenseList,,14),$K$3),
SUMIFS(INDEX(ExpenseList,,3),INDEX(ExpenseList,,6),J11,INDEX(ExpenseList,,13),$K$4,INDEX(ExpenseList,,14),$K$3))))</f>
        <v>0</v>
      </c>
      <c r="L11" s="35">
        <v>0</v>
      </c>
      <c r="M11" s="42">
        <f t="shared" si="3"/>
        <v>0</v>
      </c>
      <c r="N11" s="38" t="e">
        <f t="shared" si="4"/>
        <v>#DIV/0!</v>
      </c>
    </row>
    <row r="12" spans="2:14" x14ac:dyDescent="0.25">
      <c r="B12" s="14" t="str">
        <f>IF(INDEX(BudgetCat,4)=0,"",INDEX(BudgetCat,4))</f>
        <v/>
      </c>
      <c r="C12" s="41">
        <f t="shared" si="0"/>
        <v>0</v>
      </c>
      <c r="D12" s="35">
        <v>0</v>
      </c>
      <c r="E12" s="42">
        <f t="shared" si="1"/>
        <v>0</v>
      </c>
      <c r="F12" s="38" t="e">
        <f t="shared" si="2"/>
        <v>#DIV/0!</v>
      </c>
      <c r="J12" s="14" t="str">
        <f>IF(INDEX(BudgetCat,4)=0,"",INDEX(BudgetCat,4))</f>
        <v/>
      </c>
      <c r="K12" s="41">
        <f>IF(J12="",0,IF($K$3="All",
IF($K$4="All",SUMIFS(INDEX(ExpenseList,,3),INDEX(ExpenseList,,6),J12),
SUMIFS(INDEX(ExpenseList,,3),INDEX(ExpenseList,,6),J12,INDEX(ExpenseList,,13),$K$4)),
IF($K$4="All",SUMIFS(INDEX(ExpenseList,,3),INDEX(ExpenseList,,6),J12,INDEX(ExpenseList,,14),$K$3),
SUMIFS(INDEX(ExpenseList,,3),INDEX(ExpenseList,,6),J12,INDEX(ExpenseList,,13),$K$4,INDEX(ExpenseList,,14),$K$3))))</f>
        <v>0</v>
      </c>
      <c r="L12" s="35">
        <v>0</v>
      </c>
      <c r="M12" s="42">
        <f t="shared" si="3"/>
        <v>0</v>
      </c>
      <c r="N12" s="38" t="e">
        <f t="shared" si="4"/>
        <v>#DIV/0!</v>
      </c>
    </row>
    <row r="13" spans="2:14" x14ac:dyDescent="0.25">
      <c r="B13" s="14" t="str">
        <f>IF(INDEX(BudgetCat,5)=0,"",INDEX(BudgetCat,5))</f>
        <v/>
      </c>
      <c r="C13" s="41">
        <f t="shared" si="0"/>
        <v>0</v>
      </c>
      <c r="D13" s="35">
        <v>0</v>
      </c>
      <c r="E13" s="42">
        <f t="shared" si="1"/>
        <v>0</v>
      </c>
      <c r="F13" s="38" t="e">
        <f t="shared" si="2"/>
        <v>#DIV/0!</v>
      </c>
      <c r="J13" s="14" t="str">
        <f>IF(INDEX(BudgetCat,5)=0,"",INDEX(BudgetCat,5))</f>
        <v/>
      </c>
      <c r="K13" s="41">
        <f>IF(J13="",0,IF($K$3="All",
IF($K$4="All",SUMIFS(INDEX(ExpenseList,,3),INDEX(ExpenseList,,6),J13),
SUMIFS(INDEX(ExpenseList,,3),INDEX(ExpenseList,,6),J13,INDEX(ExpenseList,,13),$K$4)),
IF($K$4="All",SUMIFS(INDEX(ExpenseList,,3),INDEX(ExpenseList,,6),J13,INDEX(ExpenseList,,14),$K$3),
SUMIFS(INDEX(ExpenseList,,3),INDEX(ExpenseList,,6),J13,INDEX(ExpenseList,,13),$K$4,INDEX(ExpenseList,,14),$K$3))))</f>
        <v>0</v>
      </c>
      <c r="L13" s="35">
        <v>0</v>
      </c>
      <c r="M13" s="42">
        <f t="shared" si="3"/>
        <v>0</v>
      </c>
      <c r="N13" s="38" t="e">
        <f t="shared" si="4"/>
        <v>#DIV/0!</v>
      </c>
    </row>
    <row r="14" spans="2:14" x14ac:dyDescent="0.25">
      <c r="B14" s="14" t="str">
        <f>IF(INDEX(BudgetCat,6)=0,"",INDEX(BudgetCat,6))</f>
        <v/>
      </c>
      <c r="C14" s="41">
        <f t="shared" si="0"/>
        <v>0</v>
      </c>
      <c r="D14" s="35">
        <v>0</v>
      </c>
      <c r="E14" s="42">
        <f t="shared" si="1"/>
        <v>0</v>
      </c>
      <c r="F14" s="38" t="e">
        <f t="shared" si="2"/>
        <v>#DIV/0!</v>
      </c>
      <c r="J14" s="14" t="str">
        <f>IF(INDEX(BudgetCat,6)=0,"",INDEX(BudgetCat,6))</f>
        <v/>
      </c>
      <c r="K14" s="41">
        <f>IF(J14="",0,IF($K$3="All",
IF($K$4="All",SUMIFS(INDEX(ExpenseList,,3),INDEX(ExpenseList,,6),J14),
SUMIFS(INDEX(ExpenseList,,3),INDEX(ExpenseList,,6),J14,INDEX(ExpenseList,,13),$K$4)),
IF($K$4="All",SUMIFS(INDEX(ExpenseList,,3),INDEX(ExpenseList,,6),J14,INDEX(ExpenseList,,14),$K$3),
SUMIFS(INDEX(ExpenseList,,3),INDEX(ExpenseList,,6),J14,INDEX(ExpenseList,,13),$K$4,INDEX(ExpenseList,,14),$K$3))))</f>
        <v>0</v>
      </c>
      <c r="L14" s="35">
        <v>0</v>
      </c>
      <c r="M14" s="42">
        <f t="shared" si="3"/>
        <v>0</v>
      </c>
      <c r="N14" s="38" t="e">
        <f t="shared" si="4"/>
        <v>#DIV/0!</v>
      </c>
    </row>
    <row r="15" spans="2:14" x14ac:dyDescent="0.25">
      <c r="B15" s="14" t="str">
        <f>IF(INDEX(BudgetCat,7)=0,"",INDEX(BudgetCat,7))</f>
        <v/>
      </c>
      <c r="C15" s="41">
        <f t="shared" si="0"/>
        <v>0</v>
      </c>
      <c r="D15" s="35">
        <v>0</v>
      </c>
      <c r="E15" s="42">
        <f t="shared" si="1"/>
        <v>0</v>
      </c>
      <c r="F15" s="38" t="e">
        <f t="shared" si="2"/>
        <v>#DIV/0!</v>
      </c>
      <c r="J15" s="14" t="str">
        <f>IF(INDEX(BudgetCat,7)=0,"",INDEX(BudgetCat,7))</f>
        <v/>
      </c>
      <c r="K15" s="41">
        <f>IF(J15="",0,IF($K$3="All",
IF($K$4="All",SUMIFS(INDEX(ExpenseList,,3),INDEX(ExpenseList,,6),J15),
SUMIFS(INDEX(ExpenseList,,3),INDEX(ExpenseList,,6),J15,INDEX(ExpenseList,,13),$K$4)),
IF($K$4="All",SUMIFS(INDEX(ExpenseList,,3),INDEX(ExpenseList,,6),J15,INDEX(ExpenseList,,14),$K$3),
SUMIFS(INDEX(ExpenseList,,3),INDEX(ExpenseList,,6),J15,INDEX(ExpenseList,,13),$K$4,INDEX(ExpenseList,,14),$K$3))))</f>
        <v>0</v>
      </c>
      <c r="L15" s="35">
        <v>0</v>
      </c>
      <c r="M15" s="42">
        <f t="shared" si="3"/>
        <v>0</v>
      </c>
      <c r="N15" s="38" t="e">
        <f t="shared" si="4"/>
        <v>#DIV/0!</v>
      </c>
    </row>
    <row r="16" spans="2:14" x14ac:dyDescent="0.25">
      <c r="B16" s="14" t="str">
        <f>IF(INDEX(BudgetCat,8)=0,"",INDEX(BudgetCat,8))</f>
        <v/>
      </c>
      <c r="C16" s="41">
        <f t="shared" si="0"/>
        <v>0</v>
      </c>
      <c r="D16" s="35">
        <v>0</v>
      </c>
      <c r="E16" s="42">
        <f t="shared" si="1"/>
        <v>0</v>
      </c>
      <c r="F16" s="38" t="e">
        <f t="shared" si="2"/>
        <v>#DIV/0!</v>
      </c>
      <c r="J16" s="14" t="str">
        <f>IF(INDEX(BudgetCat,8)=0,"",INDEX(BudgetCat,8))</f>
        <v/>
      </c>
      <c r="K16" s="41">
        <f>IF(J16="",0,IF($K$3="All",
IF($K$4="All",SUMIFS(INDEX(ExpenseList,,3),INDEX(ExpenseList,,6),J16),
SUMIFS(INDEX(ExpenseList,,3),INDEX(ExpenseList,,6),J16,INDEX(ExpenseList,,13),$K$4)),
IF($K$4="All",SUMIFS(INDEX(ExpenseList,,3),INDEX(ExpenseList,,6),J16,INDEX(ExpenseList,,14),$K$3),
SUMIFS(INDEX(ExpenseList,,3),INDEX(ExpenseList,,6),J16,INDEX(ExpenseList,,13),$K$4,INDEX(ExpenseList,,14),$K$3))))</f>
        <v>0</v>
      </c>
      <c r="L16" s="35">
        <v>0</v>
      </c>
      <c r="M16" s="42">
        <f t="shared" si="3"/>
        <v>0</v>
      </c>
      <c r="N16" s="38" t="e">
        <f t="shared" si="4"/>
        <v>#DIV/0!</v>
      </c>
    </row>
    <row r="17" spans="2:14" x14ac:dyDescent="0.25">
      <c r="B17" s="14" t="str">
        <f>IF(INDEX(BudgetCat,9)=0,"",INDEX(BudgetCat,9))</f>
        <v/>
      </c>
      <c r="C17" s="41">
        <f t="shared" si="0"/>
        <v>0</v>
      </c>
      <c r="D17" s="35">
        <v>0</v>
      </c>
      <c r="E17" s="42">
        <f t="shared" si="1"/>
        <v>0</v>
      </c>
      <c r="F17" s="38" t="e">
        <f t="shared" si="2"/>
        <v>#DIV/0!</v>
      </c>
      <c r="J17" s="14" t="str">
        <f>IF(INDEX(BudgetCat,9)=0,"",INDEX(BudgetCat,9))</f>
        <v/>
      </c>
      <c r="K17" s="41">
        <f>IF(J17="",0,IF($K$3="All",
IF($K$4="All",SUMIFS(INDEX(ExpenseList,,3),INDEX(ExpenseList,,6),J17),
SUMIFS(INDEX(ExpenseList,,3),INDEX(ExpenseList,,6),J17,INDEX(ExpenseList,,13),$K$4)),
IF($K$4="All",SUMIFS(INDEX(ExpenseList,,3),INDEX(ExpenseList,,6),J17,INDEX(ExpenseList,,14),$K$3),
SUMIFS(INDEX(ExpenseList,,3),INDEX(ExpenseList,,6),J17,INDEX(ExpenseList,,13),$K$4,INDEX(ExpenseList,,14),$K$3))))</f>
        <v>0</v>
      </c>
      <c r="L17" s="35">
        <v>0</v>
      </c>
      <c r="M17" s="42">
        <f t="shared" si="3"/>
        <v>0</v>
      </c>
      <c r="N17" s="38" t="e">
        <f t="shared" si="4"/>
        <v>#DIV/0!</v>
      </c>
    </row>
    <row r="18" spans="2:14" x14ac:dyDescent="0.25">
      <c r="B18" s="14" t="str">
        <f>IF(INDEX(BudgetCat,10)=0,"",INDEX(BudgetCat,10))</f>
        <v/>
      </c>
      <c r="C18" s="41">
        <f t="shared" si="0"/>
        <v>0</v>
      </c>
      <c r="D18" s="35">
        <v>0</v>
      </c>
      <c r="E18" s="42">
        <f t="shared" si="1"/>
        <v>0</v>
      </c>
      <c r="F18" s="38" t="e">
        <f t="shared" si="2"/>
        <v>#DIV/0!</v>
      </c>
      <c r="J18" s="14" t="str">
        <f>IF(INDEX(BudgetCat,10)=0,"",INDEX(BudgetCat,10))</f>
        <v/>
      </c>
      <c r="K18" s="41">
        <f>IF(J18="",0,IF($K$3="All",
IF($K$4="All",SUMIFS(INDEX(ExpenseList,,3),INDEX(ExpenseList,,6),J18),
SUMIFS(INDEX(ExpenseList,,3),INDEX(ExpenseList,,6),J18,INDEX(ExpenseList,,13),$K$4)),
IF($K$4="All",SUMIFS(INDEX(ExpenseList,,3),INDEX(ExpenseList,,6),J18,INDEX(ExpenseList,,14),$K$3),
SUMIFS(INDEX(ExpenseList,,3),INDEX(ExpenseList,,6),J18,INDEX(ExpenseList,,13),$K$4,INDEX(ExpenseList,,14),$K$3))))</f>
        <v>0</v>
      </c>
      <c r="L18" s="35">
        <v>0</v>
      </c>
      <c r="M18" s="42">
        <f t="shared" si="3"/>
        <v>0</v>
      </c>
      <c r="N18" s="38" t="e">
        <f t="shared" si="4"/>
        <v>#DIV/0!</v>
      </c>
    </row>
    <row r="19" spans="2:14" x14ac:dyDescent="0.25">
      <c r="B19" s="14" t="str">
        <f>IF(INDEX(BudgetCat,11)=0,"",INDEX(BudgetCat,11))</f>
        <v/>
      </c>
      <c r="C19" s="41">
        <f t="shared" si="0"/>
        <v>0</v>
      </c>
      <c r="D19" s="35">
        <v>0</v>
      </c>
      <c r="E19" s="42">
        <f t="shared" si="1"/>
        <v>0</v>
      </c>
      <c r="F19" s="38" t="e">
        <f t="shared" si="2"/>
        <v>#DIV/0!</v>
      </c>
      <c r="J19" s="14" t="str">
        <f>IF(INDEX(BudgetCat,11)=0,"",INDEX(BudgetCat,11))</f>
        <v/>
      </c>
      <c r="K19" s="41">
        <f>IF(J19="",0,IF($K$3="All",
IF($K$4="All",SUMIFS(INDEX(ExpenseList,,3),INDEX(ExpenseList,,6),J19),
SUMIFS(INDEX(ExpenseList,,3),INDEX(ExpenseList,,6),J19,INDEX(ExpenseList,,13),$K$4)),
IF($K$4="All",SUMIFS(INDEX(ExpenseList,,3),INDEX(ExpenseList,,6),J19,INDEX(ExpenseList,,14),$K$3),
SUMIFS(INDEX(ExpenseList,,3),INDEX(ExpenseList,,6),J19,INDEX(ExpenseList,,13),$K$4,INDEX(ExpenseList,,14),$K$3))))</f>
        <v>0</v>
      </c>
      <c r="L19" s="35">
        <v>0</v>
      </c>
      <c r="M19" s="42">
        <f t="shared" si="3"/>
        <v>0</v>
      </c>
      <c r="N19" s="38" t="e">
        <f t="shared" si="4"/>
        <v>#DIV/0!</v>
      </c>
    </row>
    <row r="20" spans="2:14" x14ac:dyDescent="0.25">
      <c r="B20" s="14" t="str">
        <f>IF(INDEX(BudgetCat,12)=0,"",INDEX(BudgetCat,12))</f>
        <v/>
      </c>
      <c r="C20" s="41">
        <f t="shared" si="0"/>
        <v>0</v>
      </c>
      <c r="D20" s="35">
        <v>0</v>
      </c>
      <c r="E20" s="42">
        <f t="shared" si="1"/>
        <v>0</v>
      </c>
      <c r="F20" s="38" t="e">
        <f t="shared" si="2"/>
        <v>#DIV/0!</v>
      </c>
      <c r="J20" s="14" t="str">
        <f>IF(INDEX(BudgetCat,12)=0,"",INDEX(BudgetCat,12))</f>
        <v/>
      </c>
      <c r="K20" s="41">
        <f>IF(J20="",0,IF($K$3="All",
IF($K$4="All",SUMIFS(INDEX(ExpenseList,,3),INDEX(ExpenseList,,6),J20),
SUMIFS(INDEX(ExpenseList,,3),INDEX(ExpenseList,,6),J20,INDEX(ExpenseList,,13),$K$4)),
IF($K$4="All",SUMIFS(INDEX(ExpenseList,,3),INDEX(ExpenseList,,6),J20,INDEX(ExpenseList,,14),$K$3),
SUMIFS(INDEX(ExpenseList,,3),INDEX(ExpenseList,,6),J20,INDEX(ExpenseList,,13),$K$4,INDEX(ExpenseList,,14),$K$3))))</f>
        <v>0</v>
      </c>
      <c r="L20" s="35">
        <v>0</v>
      </c>
      <c r="M20" s="42">
        <f t="shared" si="3"/>
        <v>0</v>
      </c>
      <c r="N20" s="38" t="e">
        <f t="shared" si="4"/>
        <v>#DIV/0!</v>
      </c>
    </row>
    <row r="21" spans="2:14" x14ac:dyDescent="0.25">
      <c r="B21" s="14" t="str">
        <f>IF(INDEX(BudgetCat,13)=0,"",INDEX(BudgetCat,13))</f>
        <v/>
      </c>
      <c r="C21" s="41">
        <f t="shared" si="0"/>
        <v>0</v>
      </c>
      <c r="D21" s="35">
        <v>0</v>
      </c>
      <c r="E21" s="42">
        <f t="shared" si="1"/>
        <v>0</v>
      </c>
      <c r="F21" s="38" t="e">
        <f t="shared" si="2"/>
        <v>#DIV/0!</v>
      </c>
      <c r="J21" s="14" t="str">
        <f>IF(INDEX(BudgetCat,13)=0,"",INDEX(BudgetCat,13))</f>
        <v/>
      </c>
      <c r="K21" s="41">
        <f>IF(J21="",0,IF($K$3="All",
IF($K$4="All",SUMIFS(INDEX(ExpenseList,,3),INDEX(ExpenseList,,6),J21),
SUMIFS(INDEX(ExpenseList,,3),INDEX(ExpenseList,,6),J21,INDEX(ExpenseList,,13),$K$4)),
IF($K$4="All",SUMIFS(INDEX(ExpenseList,,3),INDEX(ExpenseList,,6),J21,INDEX(ExpenseList,,14),$K$3),
SUMIFS(INDEX(ExpenseList,,3),INDEX(ExpenseList,,6),J21,INDEX(ExpenseList,,13),$K$4,INDEX(ExpenseList,,14),$K$3))))</f>
        <v>0</v>
      </c>
      <c r="L21" s="35">
        <v>0</v>
      </c>
      <c r="M21" s="42">
        <f t="shared" si="3"/>
        <v>0</v>
      </c>
      <c r="N21" s="38" t="e">
        <f t="shared" si="4"/>
        <v>#DIV/0!</v>
      </c>
    </row>
    <row r="22" spans="2:14" x14ac:dyDescent="0.25">
      <c r="B22" s="14" t="str">
        <f>IF(INDEX(BudgetCat,14)=0,"",INDEX(BudgetCat,14))</f>
        <v/>
      </c>
      <c r="C22" s="41">
        <f t="shared" si="0"/>
        <v>0</v>
      </c>
      <c r="D22" s="35">
        <v>0</v>
      </c>
      <c r="E22" s="42">
        <f t="shared" si="1"/>
        <v>0</v>
      </c>
      <c r="F22" s="38" t="e">
        <f t="shared" si="2"/>
        <v>#DIV/0!</v>
      </c>
      <c r="J22" s="14" t="str">
        <f>IF(INDEX(BudgetCat,14)=0,"",INDEX(BudgetCat,14))</f>
        <v/>
      </c>
      <c r="K22" s="41">
        <f>IF(J22="",0,IF($K$3="All",
IF($K$4="All",SUMIFS(INDEX(ExpenseList,,3),INDEX(ExpenseList,,6),J22),
SUMIFS(INDEX(ExpenseList,,3),INDEX(ExpenseList,,6),J22,INDEX(ExpenseList,,13),$K$4)),
IF($K$4="All",SUMIFS(INDEX(ExpenseList,,3),INDEX(ExpenseList,,6),J22,INDEX(ExpenseList,,14),$K$3),
SUMIFS(INDEX(ExpenseList,,3),INDEX(ExpenseList,,6),J22,INDEX(ExpenseList,,13),$K$4,INDEX(ExpenseList,,14),$K$3))))</f>
        <v>0</v>
      </c>
      <c r="L22" s="35">
        <v>0</v>
      </c>
      <c r="M22" s="42">
        <f t="shared" si="3"/>
        <v>0</v>
      </c>
      <c r="N22" s="38" t="e">
        <f t="shared" si="4"/>
        <v>#DIV/0!</v>
      </c>
    </row>
    <row r="23" spans="2:14" x14ac:dyDescent="0.25">
      <c r="B23" s="14" t="str">
        <f>IF(INDEX(BudgetCat,15)=0,"",INDEX(BudgetCat,15))</f>
        <v/>
      </c>
      <c r="C23" s="41">
        <f t="shared" si="0"/>
        <v>0</v>
      </c>
      <c r="D23" s="35">
        <v>0</v>
      </c>
      <c r="E23" s="42">
        <f t="shared" si="1"/>
        <v>0</v>
      </c>
      <c r="F23" s="38" t="e">
        <f t="shared" si="2"/>
        <v>#DIV/0!</v>
      </c>
      <c r="J23" s="14" t="str">
        <f>IF(INDEX(BudgetCat,15)=0,"",INDEX(BudgetCat,15))</f>
        <v/>
      </c>
      <c r="K23" s="41">
        <f>IF(J23="",0,IF($K$3="All",
IF($K$4="All",SUMIFS(INDEX(ExpenseList,,3),INDEX(ExpenseList,,6),J23),
SUMIFS(INDEX(ExpenseList,,3),INDEX(ExpenseList,,6),J23,INDEX(ExpenseList,,13),$K$4)),
IF($K$4="All",SUMIFS(INDEX(ExpenseList,,3),INDEX(ExpenseList,,6),J23,INDEX(ExpenseList,,14),$K$3),
SUMIFS(INDEX(ExpenseList,,3),INDEX(ExpenseList,,6),J23,INDEX(ExpenseList,,13),$K$4,INDEX(ExpenseList,,14),$K$3))))</f>
        <v>0</v>
      </c>
      <c r="L23" s="35">
        <v>0</v>
      </c>
      <c r="M23" s="42">
        <f t="shared" si="3"/>
        <v>0</v>
      </c>
      <c r="N23" s="38" t="e">
        <f t="shared" si="4"/>
        <v>#DIV/0!</v>
      </c>
    </row>
    <row r="24" spans="2:14" x14ac:dyDescent="0.25">
      <c r="B24" s="14" t="str">
        <f>IF(INDEX(BudgetCat,16)=0,"",INDEX(BudgetCat,16))</f>
        <v/>
      </c>
      <c r="C24" s="41">
        <f t="shared" si="0"/>
        <v>0</v>
      </c>
      <c r="D24" s="35">
        <v>0</v>
      </c>
      <c r="E24" s="42">
        <f t="shared" si="1"/>
        <v>0</v>
      </c>
      <c r="F24" s="38" t="e">
        <f t="shared" si="2"/>
        <v>#DIV/0!</v>
      </c>
      <c r="J24" s="14" t="str">
        <f>IF(INDEX(BudgetCat,16)=0,"",INDEX(BudgetCat,16))</f>
        <v/>
      </c>
      <c r="K24" s="41">
        <f>IF(J24="",0,IF($K$3="All",
IF($K$4="All",SUMIFS(INDEX(ExpenseList,,3),INDEX(ExpenseList,,6),J24),
SUMIFS(INDEX(ExpenseList,,3),INDEX(ExpenseList,,6),J24,INDEX(ExpenseList,,13),$K$4)),
IF($K$4="All",SUMIFS(INDEX(ExpenseList,,3),INDEX(ExpenseList,,6),J24,INDEX(ExpenseList,,14),$K$3),
SUMIFS(INDEX(ExpenseList,,3),INDEX(ExpenseList,,6),J24,INDEX(ExpenseList,,13),$K$4,INDEX(ExpenseList,,14),$K$3))))</f>
        <v>0</v>
      </c>
      <c r="L24" s="35">
        <v>0</v>
      </c>
      <c r="M24" s="42">
        <f t="shared" si="3"/>
        <v>0</v>
      </c>
      <c r="N24" s="38" t="e">
        <f t="shared" si="4"/>
        <v>#DIV/0!</v>
      </c>
    </row>
    <row r="25" spans="2:14" x14ac:dyDescent="0.25">
      <c r="B25" s="14" t="str">
        <f>IF(INDEX(BudgetCat,17)=0,"",INDEX(BudgetCat,17))</f>
        <v/>
      </c>
      <c r="C25" s="41">
        <f t="shared" si="0"/>
        <v>0</v>
      </c>
      <c r="D25" s="35">
        <v>0</v>
      </c>
      <c r="E25" s="42">
        <f t="shared" si="1"/>
        <v>0</v>
      </c>
      <c r="F25" s="38" t="e">
        <f t="shared" si="2"/>
        <v>#DIV/0!</v>
      </c>
      <c r="J25" s="14" t="str">
        <f>IF(INDEX(BudgetCat,17)=0,"",INDEX(BudgetCat,17))</f>
        <v/>
      </c>
      <c r="K25" s="41">
        <f>IF(J25="",0,IF($K$3="All",
IF($K$4="All",SUMIFS(INDEX(ExpenseList,,3),INDEX(ExpenseList,,6),J25),
SUMIFS(INDEX(ExpenseList,,3),INDEX(ExpenseList,,6),J25,INDEX(ExpenseList,,13),$K$4)),
IF($K$4="All",SUMIFS(INDEX(ExpenseList,,3),INDEX(ExpenseList,,6),J25,INDEX(ExpenseList,,14),$K$3),
SUMIFS(INDEX(ExpenseList,,3),INDEX(ExpenseList,,6),J25,INDEX(ExpenseList,,13),$K$4,INDEX(ExpenseList,,14),$K$3))))</f>
        <v>0</v>
      </c>
      <c r="L25" s="35">
        <v>0</v>
      </c>
      <c r="M25" s="42">
        <f t="shared" si="3"/>
        <v>0</v>
      </c>
      <c r="N25" s="38" t="e">
        <f t="shared" si="4"/>
        <v>#DIV/0!</v>
      </c>
    </row>
    <row r="26" spans="2:14" x14ac:dyDescent="0.25">
      <c r="B26" s="14" t="str">
        <f>IF(INDEX(BudgetCat,18)=0,"",INDEX(BudgetCat,18))</f>
        <v/>
      </c>
      <c r="C26" s="41">
        <f t="shared" si="0"/>
        <v>0</v>
      </c>
      <c r="D26" s="35">
        <v>0</v>
      </c>
      <c r="E26" s="42">
        <f t="shared" si="1"/>
        <v>0</v>
      </c>
      <c r="F26" s="38" t="e">
        <f t="shared" si="2"/>
        <v>#DIV/0!</v>
      </c>
      <c r="J26" s="14" t="str">
        <f>IF(INDEX(BudgetCat,18)=0,"",INDEX(BudgetCat,18))</f>
        <v/>
      </c>
      <c r="K26" s="41">
        <f>IF(J26="",0,IF($K$3="All",
IF($K$4="All",SUMIFS(INDEX(ExpenseList,,3),INDEX(ExpenseList,,6),J26),
SUMIFS(INDEX(ExpenseList,,3),INDEX(ExpenseList,,6),J26,INDEX(ExpenseList,,13),$K$4)),
IF($K$4="All",SUMIFS(INDEX(ExpenseList,,3),INDEX(ExpenseList,,6),J26,INDEX(ExpenseList,,14),$K$3),
SUMIFS(INDEX(ExpenseList,,3),INDEX(ExpenseList,,6),J26,INDEX(ExpenseList,,13),$K$4,INDEX(ExpenseList,,14),$K$3))))</f>
        <v>0</v>
      </c>
      <c r="L26" s="35">
        <v>0</v>
      </c>
      <c r="M26" s="42">
        <f t="shared" si="3"/>
        <v>0</v>
      </c>
      <c r="N26" s="38" t="e">
        <f t="shared" si="4"/>
        <v>#DIV/0!</v>
      </c>
    </row>
    <row r="27" spans="2:14" x14ac:dyDescent="0.25">
      <c r="B27" s="14" t="str">
        <f>IF(INDEX(BudgetCat,19)=0,"",INDEX(BudgetCat,19))</f>
        <v/>
      </c>
      <c r="C27" s="41">
        <f t="shared" si="0"/>
        <v>0</v>
      </c>
      <c r="D27" s="35">
        <v>0</v>
      </c>
      <c r="E27" s="42">
        <f t="shared" si="1"/>
        <v>0</v>
      </c>
      <c r="F27" s="38" t="e">
        <f t="shared" si="2"/>
        <v>#DIV/0!</v>
      </c>
      <c r="J27" s="14" t="str">
        <f>IF(INDEX(BudgetCat,19)=0,"",INDEX(BudgetCat,19))</f>
        <v/>
      </c>
      <c r="K27" s="41">
        <f>IF(J27="",0,IF($K$3="All",
IF($K$4="All",SUMIFS(INDEX(ExpenseList,,3),INDEX(ExpenseList,,6),J27),
SUMIFS(INDEX(ExpenseList,,3),INDEX(ExpenseList,,6),J27,INDEX(ExpenseList,,13),$K$4)),
IF($K$4="All",SUMIFS(INDEX(ExpenseList,,3),INDEX(ExpenseList,,6),J27,INDEX(ExpenseList,,14),$K$3),
SUMIFS(INDEX(ExpenseList,,3),INDEX(ExpenseList,,6),J27,INDEX(ExpenseList,,13),$K$4,INDEX(ExpenseList,,14),$K$3))))</f>
        <v>0</v>
      </c>
      <c r="L27" s="35">
        <v>0</v>
      </c>
      <c r="M27" s="42">
        <f t="shared" si="3"/>
        <v>0</v>
      </c>
      <c r="N27" s="38" t="e">
        <f t="shared" si="4"/>
        <v>#DIV/0!</v>
      </c>
    </row>
    <row r="28" spans="2:14" ht="15.75" thickBot="1" x14ac:dyDescent="0.3">
      <c r="B28" s="15" t="str">
        <f>IF(INDEX(BudgetCat,20)=0,"",INDEX(BudgetCat,20))</f>
        <v/>
      </c>
      <c r="C28" s="75">
        <f t="shared" si="0"/>
        <v>0</v>
      </c>
      <c r="D28" s="39">
        <v>0</v>
      </c>
      <c r="E28" s="43">
        <f t="shared" si="1"/>
        <v>0</v>
      </c>
      <c r="F28" s="40" t="e">
        <f t="shared" si="2"/>
        <v>#DIV/0!</v>
      </c>
      <c r="J28" s="15" t="str">
        <f>IF(INDEX(BudgetCat,20)=0,"",INDEX(BudgetCat,20))</f>
        <v/>
      </c>
      <c r="K28" s="75">
        <f>IF(J28="",0,IF($K$3="All",
IF($K$4="All",SUMIFS(INDEX(ExpenseList,,3),INDEX(ExpenseList,,6),J28),
SUMIFS(INDEX(ExpenseList,,3),INDEX(ExpenseList,,6),J28,INDEX(ExpenseList,,13),$K$4)),
IF($K$4="All",SUMIFS(INDEX(ExpenseList,,3),INDEX(ExpenseList,,6),J28,INDEX(ExpenseList,,14),$K$3),
SUMIFS(INDEX(ExpenseList,,3),INDEX(ExpenseList,,6),J28,INDEX(ExpenseList,,13),$K$4,INDEX(ExpenseList,,14),$K$3))))</f>
        <v>0</v>
      </c>
      <c r="L28" s="39">
        <v>0</v>
      </c>
      <c r="M28" s="43">
        <f t="shared" si="3"/>
        <v>0</v>
      </c>
      <c r="N28" s="40" t="e">
        <f t="shared" si="4"/>
        <v>#DIV/0!</v>
      </c>
    </row>
    <row r="29" spans="2:14" ht="15.75" thickBot="1" x14ac:dyDescent="0.3">
      <c r="D29" s="24" t="s">
        <v>78</v>
      </c>
      <c r="E29" s="37">
        <f>SUM(E9:E22)</f>
        <v>0</v>
      </c>
      <c r="L29" s="24" t="s">
        <v>78</v>
      </c>
      <c r="M29" s="37">
        <f>SUM(M9:M22)</f>
        <v>0</v>
      </c>
    </row>
  </sheetData>
  <sheetProtection autoFilter="0"/>
  <protectedRanges>
    <protectedRange sqref="C3:C4 K3:K4" name="Range1"/>
  </protectedRanges>
  <conditionalFormatting sqref="E9:E28">
    <cfRule type="dataBar" priority="4">
      <dataBar>
        <cfvo type="min"/>
        <cfvo type="max"/>
        <color rgb="FF63C384"/>
      </dataBar>
      <extLst>
        <ext xmlns:x14="http://schemas.microsoft.com/office/spreadsheetml/2009/9/main" uri="{B025F937-C7B1-47D3-B67F-A62EFF666E3E}">
          <x14:id>{CCF4FCCD-529B-4DE5-9C71-6B6069BA8CB5}</x14:id>
        </ext>
      </extLst>
    </cfRule>
  </conditionalFormatting>
  <conditionalFormatting sqref="F9:F28">
    <cfRule type="colorScale" priority="3">
      <colorScale>
        <cfvo type="min"/>
        <cfvo type="max"/>
        <color rgb="FFFCFCFF"/>
        <color rgb="FFF8696B"/>
      </colorScale>
    </cfRule>
  </conditionalFormatting>
  <conditionalFormatting sqref="M9:M28">
    <cfRule type="dataBar" priority="2">
      <dataBar>
        <cfvo type="min"/>
        <cfvo type="max"/>
        <color rgb="FF63C384"/>
      </dataBar>
      <extLst>
        <ext xmlns:x14="http://schemas.microsoft.com/office/spreadsheetml/2009/9/main" uri="{B025F937-C7B1-47D3-B67F-A62EFF666E3E}">
          <x14:id>{BC432E25-D68A-4F74-9ACD-A92CAFCC94AA}</x14:id>
        </ext>
      </extLst>
    </cfRule>
  </conditionalFormatting>
  <conditionalFormatting sqref="N9:N28">
    <cfRule type="colorScale" priority="1">
      <colorScale>
        <cfvo type="min"/>
        <cfvo type="max"/>
        <color rgb="FFFCFCFF"/>
        <color rgb="FFF8696B"/>
      </colorScale>
    </cfRule>
  </conditionalFormatting>
  <dataValidations count="2">
    <dataValidation type="list" allowBlank="1" showInputMessage="1" showErrorMessage="1" sqref="C4 K4" xr:uid="{B6B242C4-3C9F-4624-868A-7C757D696E57}">
      <formula1>Month_List</formula1>
    </dataValidation>
    <dataValidation type="list" allowBlank="1" showInputMessage="1" showErrorMessage="1" sqref="C3 K3" xr:uid="{8CB576A5-FD18-4D3E-94E0-B361FF8A0235}">
      <formula1>Year_List</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CF4FCCD-529B-4DE5-9C71-6B6069BA8CB5}">
            <x14:dataBar minLength="0" maxLength="100" gradient="0">
              <x14:cfvo type="autoMin"/>
              <x14:cfvo type="autoMax"/>
              <x14:negativeFillColor rgb="FFFF0000"/>
              <x14:axisColor rgb="FF000000"/>
            </x14:dataBar>
          </x14:cfRule>
          <xm:sqref>E9:E28</xm:sqref>
        </x14:conditionalFormatting>
        <x14:conditionalFormatting xmlns:xm="http://schemas.microsoft.com/office/excel/2006/main">
          <x14:cfRule type="dataBar" id="{BC432E25-D68A-4F74-9ACD-A92CAFCC94AA}">
            <x14:dataBar minLength="0" maxLength="100" gradient="0">
              <x14:cfvo type="autoMin"/>
              <x14:cfvo type="autoMax"/>
              <x14:negativeFillColor rgb="FFFF0000"/>
              <x14:axisColor rgb="FF000000"/>
            </x14:dataBar>
          </x14:cfRule>
          <xm:sqref>M9:M28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8187-5786-489F-9907-064284B9DA3A}">
  <sheetPr codeName="Sheet3"/>
  <dimension ref="A1:K1"/>
  <sheetViews>
    <sheetView workbookViewId="0">
      <selection activeCell="A2" sqref="A2"/>
    </sheetView>
  </sheetViews>
  <sheetFormatPr defaultRowHeight="15" x14ac:dyDescent="0.25"/>
  <cols>
    <col min="1" max="1" width="15.140625" bestFit="1" customWidth="1"/>
    <col min="2" max="2" width="12.85546875" bestFit="1" customWidth="1"/>
    <col min="3" max="3" width="25.5703125" bestFit="1" customWidth="1"/>
    <col min="5" max="5" width="14.5703125" bestFit="1" customWidth="1"/>
    <col min="6" max="6" width="12" bestFit="1" customWidth="1"/>
    <col min="7" max="7" width="12.140625" bestFit="1" customWidth="1"/>
    <col min="8" max="8" width="20" bestFit="1" customWidth="1"/>
    <col min="9" max="9" width="37.42578125" bestFit="1" customWidth="1"/>
    <col min="10" max="10" width="15.5703125" bestFit="1" customWidth="1"/>
    <col min="11" max="11" width="12" bestFit="1" customWidth="1"/>
  </cols>
  <sheetData>
    <row r="1" spans="1:11" x14ac:dyDescent="0.25">
      <c r="A1" t="s">
        <v>17</v>
      </c>
      <c r="B1" t="s">
        <v>18</v>
      </c>
      <c r="C1" t="s">
        <v>19</v>
      </c>
      <c r="D1" t="s">
        <v>20</v>
      </c>
      <c r="E1" t="s">
        <v>21</v>
      </c>
      <c r="F1" t="s">
        <v>25</v>
      </c>
      <c r="G1" t="s">
        <v>22</v>
      </c>
      <c r="H1" t="s">
        <v>23</v>
      </c>
      <c r="I1" t="s">
        <v>24</v>
      </c>
      <c r="J1" t="s">
        <v>27</v>
      </c>
      <c r="K1" t="s">
        <v>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Instructions</vt:lpstr>
      <vt:lpstr>Main Tab</vt:lpstr>
      <vt:lpstr>Expense List</vt:lpstr>
      <vt:lpstr>Working Sheet</vt:lpstr>
      <vt:lpstr>Backup Expense List</vt:lpstr>
      <vt:lpstr>Monthly Dashboard</vt:lpstr>
      <vt:lpstr>Category Dashboard</vt:lpstr>
      <vt:lpstr>Annual Dashboard</vt:lpstr>
      <vt:lpstr>Monthly Compare Dashboard</vt:lpstr>
      <vt:lpstr>Account Variables</vt:lpstr>
      <vt:lpstr>Budget</vt:lpstr>
      <vt:lpstr>BudgetCat</vt:lpstr>
      <vt:lpstr>Cat_List</vt:lpstr>
      <vt:lpstr>'Backup Expense List'!ExpenseList</vt:lpstr>
      <vt:lpstr>ExpenseList</vt:lpstr>
      <vt:lpstr>Month_List</vt:lpstr>
      <vt:lpstr>Year_List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ExpenseBook</dc:title>
  <dc:creator>Joshua Petersheim</dc:creator>
  <cp:keywords>expenses, finances, tracking, lists, budget</cp:keywords>
  <dc:description>Made to allow users to track their expenses</dc:description>
  <cp:lastModifiedBy>Josh Petersheim</cp:lastModifiedBy>
  <dcterms:created xsi:type="dcterms:W3CDTF">2020-03-01T23:04:16Z</dcterms:created>
  <dcterms:modified xsi:type="dcterms:W3CDTF">2021-03-09T01:43:56Z</dcterms:modified>
  <cp:category>Finance</cp:category>
</cp:coreProperties>
</file>
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xml" ContentType="application/vnd.ms-excel.controlproperties+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1e5b1244254d0c8f/ExpenseBook/"/>
    </mc:Choice>
  </mc:AlternateContent>
  <xr:revisionPtr revIDLastSave="6631" documentId="13_ncr:201_{540C597D-0FB7-464B-9223-CEF58BD044D0}" xr6:coauthVersionLast="46" xr6:coauthVersionMax="46" xr10:uidLastSave="{8250CDE8-541E-4737-9387-D7386CBB969B}"/>
  <bookViews>
    <workbookView xWindow="-120" yWindow="-120" windowWidth="29040" windowHeight="15225" tabRatio="744" xr2:uid="{9B92E049-33A5-40DC-851B-34EECC556C6F}"/>
  </bookViews>
  <sheets>
    <sheet name="Instructions" sheetId="223" r:id="rId1"/>
    <sheet name="Main Tab" sheetId="4" r:id="rId2"/>
    <sheet name="Monthly Dashboard" sheetId="187" r:id="rId3"/>
    <sheet name="Expense List" sheetId="157" r:id="rId4"/>
    <sheet name="Working Sheet" sheetId="2" state="hidden" r:id="rId5"/>
    <sheet name="Backup Expense List" sheetId="387" state="hidden" r:id="rId6"/>
    <sheet name="Category Dashboard" sheetId="193" r:id="rId7"/>
    <sheet name="Annual Dashboard" sheetId="185" r:id="rId8"/>
    <sheet name="Monthly Compare Dashboard" sheetId="224" r:id="rId9"/>
    <sheet name="Account Variables" sheetId="6" state="hidden" r:id="rId10"/>
  </sheets>
  <functionGroups builtInGroupCount="19"/>
  <definedNames>
    <definedName name="_xlnm._FilterDatabase" localSheetId="5" hidden="1">'Backup Expense List'!$A$2:$L$2</definedName>
    <definedName name="_xlnm._FilterDatabase" localSheetId="3" hidden="1">'Expense List'!$A$2:$L$2</definedName>
    <definedName name="Budget">'Main Tab'!$F$11:$G$30</definedName>
    <definedName name="BudgetCat">'Main Tab'!$F$11:$F$30</definedName>
    <definedName name="Cat_List">'Working Sheet'!$D$3:$D$5</definedName>
    <definedName name="ExpenseList" localSheetId="5">'Backup Expense List'!$A$2:$N$25</definedName>
    <definedName name="ExpenseList">'Expense List'!$A$2:$N$2</definedName>
    <definedName name="Month_List">'Working Sheet'!$B$3:$B$4</definedName>
    <definedName name="Year_List">'Working Sheet'!$C$3:$C$4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57" l="1"/>
  <c r="N25" i="387"/>
  <c r="M25" i="387"/>
  <c r="N24" i="387"/>
  <c r="M24" i="387"/>
  <c r="N23" i="387"/>
  <c r="M23" i="387"/>
  <c r="N22" i="387"/>
  <c r="M22" i="387"/>
  <c r="N21" i="387"/>
  <c r="M21" i="387"/>
  <c r="N20" i="387"/>
  <c r="M20" i="387"/>
  <c r="N19" i="387"/>
  <c r="M19" i="387"/>
  <c r="N18" i="387"/>
  <c r="M18" i="387"/>
  <c r="N17" i="387"/>
  <c r="M17" i="387"/>
  <c r="N16" i="387"/>
  <c r="M16" i="387"/>
  <c r="N15" i="387"/>
  <c r="M15" i="387"/>
  <c r="N14" i="387"/>
  <c r="M14" i="387"/>
  <c r="N13" i="387"/>
  <c r="M13" i="387"/>
  <c r="N12" i="387"/>
  <c r="M12" i="387"/>
  <c r="N11" i="387"/>
  <c r="M11" i="387"/>
  <c r="N10" i="387"/>
  <c r="M10" i="387"/>
  <c r="N9" i="387"/>
  <c r="M9" i="387"/>
  <c r="N8" i="387"/>
  <c r="M8" i="387"/>
  <c r="N7" i="387"/>
  <c r="M7" i="387"/>
  <c r="N6" i="387"/>
  <c r="M6" i="387"/>
  <c r="N5" i="387"/>
  <c r="M5" i="387"/>
  <c r="N4" i="387"/>
  <c r="M4" i="387"/>
  <c r="N3" i="387"/>
  <c r="M3" i="387"/>
  <c r="A1" i="387"/>
  <c r="L9" i="224" a="1"/>
  <c r="L9" i="224" s="1"/>
  <c r="J11" i="224"/>
  <c r="J10" i="224"/>
  <c r="J9" i="224"/>
  <c r="B11" i="224"/>
  <c r="B10" i="224"/>
  <c r="D9" i="224" a="1"/>
  <c r="B9" i="224"/>
  <c r="B12" i="224" l="1"/>
  <c r="C12" i="224" s="1"/>
  <c r="E12" i="224" s="1"/>
  <c r="J12" i="224"/>
  <c r="K12" i="224" s="1"/>
  <c r="M12" i="224" s="1"/>
  <c r="K9" i="224"/>
  <c r="M9" i="224" s="1"/>
  <c r="K10" i="224"/>
  <c r="M10" i="224" s="1"/>
  <c r="C10" i="224"/>
  <c r="E10" i="224" s="1"/>
  <c r="C9" i="224"/>
  <c r="C11" i="224"/>
  <c r="E11" i="224" s="1"/>
  <c r="K11" i="224"/>
  <c r="M11" i="224" s="1"/>
  <c r="K6" i="224"/>
  <c r="C6" i="224"/>
  <c r="D9" i="224"/>
  <c r="B13" i="224" l="1"/>
  <c r="C13" i="224" s="1"/>
  <c r="E13" i="224" s="1"/>
  <c r="J13" i="224"/>
  <c r="K13" i="224" s="1"/>
  <c r="M13" i="224" s="1"/>
  <c r="E9" i="224"/>
  <c r="N9" i="224"/>
  <c r="N12" i="224"/>
  <c r="N11" i="224"/>
  <c r="N10" i="224"/>
  <c r="F9" i="224"/>
  <c r="F10" i="224"/>
  <c r="F12" i="224"/>
  <c r="F11" i="224"/>
  <c r="C6" i="193"/>
  <c r="N13" i="224" l="1"/>
  <c r="F13" i="224"/>
  <c r="B14" i="224"/>
  <c r="C14" i="224" s="1"/>
  <c r="J14" i="224"/>
  <c r="K14" i="224" s="1"/>
  <c r="C10" i="193"/>
  <c r="C9" i="193"/>
  <c r="C16" i="193"/>
  <c r="C11" i="193"/>
  <c r="C12" i="193"/>
  <c r="C14" i="193"/>
  <c r="F14" i="193" s="1"/>
  <c r="C15" i="193"/>
  <c r="C17" i="193"/>
  <c r="C18" i="193"/>
  <c r="F18" i="193" s="1"/>
  <c r="C13" i="193"/>
  <c r="F13" i="193" s="1"/>
  <c r="C19" i="193"/>
  <c r="C20" i="193"/>
  <c r="F20" i="193" s="1"/>
  <c r="B15" i="187"/>
  <c r="B14" i="187"/>
  <c r="B13" i="187"/>
  <c r="B12" i="187"/>
  <c r="B11" i="187"/>
  <c r="B10" i="187"/>
  <c r="B9" i="187"/>
  <c r="B29" i="185"/>
  <c r="B28" i="185"/>
  <c r="B27" i="185"/>
  <c r="B26" i="185"/>
  <c r="C26" i="185" s="1"/>
  <c r="B25" i="185"/>
  <c r="B24" i="185"/>
  <c r="B23" i="185"/>
  <c r="D16" i="4"/>
  <c r="D9" i="187" a="1"/>
  <c r="D9" i="187" s="1"/>
  <c r="B15" i="224" l="1"/>
  <c r="C15" i="224" s="1"/>
  <c r="J15" i="224"/>
  <c r="K15" i="224" s="1"/>
  <c r="E14" i="224"/>
  <c r="F14" i="224"/>
  <c r="M14" i="224"/>
  <c r="N14" i="224"/>
  <c r="C21" i="193"/>
  <c r="F10" i="193"/>
  <c r="F9" i="193"/>
  <c r="F16" i="193"/>
  <c r="F11" i="193"/>
  <c r="F17" i="193"/>
  <c r="F15" i="193"/>
  <c r="F12" i="193"/>
  <c r="F19" i="193"/>
  <c r="C24" i="185"/>
  <c r="C23" i="185"/>
  <c r="C9" i="187"/>
  <c r="C10" i="187"/>
  <c r="C25" i="185"/>
  <c r="C27" i="185"/>
  <c r="C28" i="185"/>
  <c r="C29" i="185"/>
  <c r="C12" i="187"/>
  <c r="C14" i="187"/>
  <c r="C15" i="187"/>
  <c r="C11" i="187"/>
  <c r="C13" i="187"/>
  <c r="C11" i="185"/>
  <c r="C13" i="185"/>
  <c r="G31" i="4"/>
  <c r="M15" i="224" l="1"/>
  <c r="N15" i="224"/>
  <c r="E15" i="224"/>
  <c r="F15" i="224"/>
  <c r="J16" i="224"/>
  <c r="K16" i="224" s="1"/>
  <c r="B16" i="224"/>
  <c r="C16" i="224" s="1"/>
  <c r="B30" i="185"/>
  <c r="C30" i="185" s="1"/>
  <c r="B16" i="187"/>
  <c r="C16" i="187" s="1"/>
  <c r="E16" i="187" s="1"/>
  <c r="E11" i="187"/>
  <c r="E12" i="187"/>
  <c r="C6" i="187"/>
  <c r="C6" i="185"/>
  <c r="C16" i="185"/>
  <c r="E9" i="187"/>
  <c r="E10" i="187"/>
  <c r="E13" i="187"/>
  <c r="E14" i="187"/>
  <c r="E15" i="187"/>
  <c r="C15" i="185"/>
  <c r="C20" i="185"/>
  <c r="C14" i="185"/>
  <c r="C17" i="185"/>
  <c r="C18" i="185"/>
  <c r="C12" i="185"/>
  <c r="C10" i="185"/>
  <c r="C9" i="185"/>
  <c r="C19" i="185"/>
  <c r="M16" i="224" l="1"/>
  <c r="N16" i="224"/>
  <c r="E16" i="224"/>
  <c r="F16" i="224"/>
  <c r="B17" i="224"/>
  <c r="C17" i="224" s="1"/>
  <c r="J17" i="224"/>
  <c r="K17" i="224" s="1"/>
  <c r="B31" i="185"/>
  <c r="C31" i="185" s="1"/>
  <c r="B17" i="187"/>
  <c r="C17" i="187" s="1"/>
  <c r="E17" i="187" s="1"/>
  <c r="F13" i="187"/>
  <c r="F14" i="187"/>
  <c r="F11" i="187"/>
  <c r="F12" i="187"/>
  <c r="F15" i="187"/>
  <c r="F16" i="187"/>
  <c r="F10" i="187"/>
  <c r="F9" i="187"/>
  <c r="F17" i="187" l="1"/>
  <c r="B18" i="224"/>
  <c r="C18" i="224" s="1"/>
  <c r="J18" i="224"/>
  <c r="K18" i="224" s="1"/>
  <c r="B32" i="185"/>
  <c r="C32" i="185" s="1"/>
  <c r="B18" i="187"/>
  <c r="C18" i="187" s="1"/>
  <c r="M17" i="224"/>
  <c r="N17" i="224"/>
  <c r="E17" i="224"/>
  <c r="F17" i="224"/>
  <c r="B19" i="224" l="1"/>
  <c r="C19" i="224" s="1"/>
  <c r="J19" i="224"/>
  <c r="K19" i="224" s="1"/>
  <c r="B33" i="185"/>
  <c r="C33" i="185" s="1"/>
  <c r="B19" i="187"/>
  <c r="C19" i="187" s="1"/>
  <c r="M18" i="224"/>
  <c r="N18" i="224"/>
  <c r="E18" i="187"/>
  <c r="F18" i="187"/>
  <c r="E18" i="224"/>
  <c r="F18" i="224"/>
  <c r="E19" i="187" l="1"/>
  <c r="F19" i="187"/>
  <c r="M19" i="224"/>
  <c r="N19" i="224"/>
  <c r="J20" i="224"/>
  <c r="K20" i="224" s="1"/>
  <c r="B20" i="224"/>
  <c r="C20" i="224" s="1"/>
  <c r="B34" i="185"/>
  <c r="C34" i="185" s="1"/>
  <c r="B20" i="187"/>
  <c r="C20" i="187" s="1"/>
  <c r="E19" i="224"/>
  <c r="F19" i="224"/>
  <c r="M20" i="224" l="1"/>
  <c r="N20" i="224"/>
  <c r="E20" i="187"/>
  <c r="F20" i="187"/>
  <c r="E20" i="224"/>
  <c r="F20" i="224"/>
  <c r="J21" i="224"/>
  <c r="K21" i="224" s="1"/>
  <c r="B21" i="224"/>
  <c r="C21" i="224" s="1"/>
  <c r="B35" i="185"/>
  <c r="C35" i="185" s="1"/>
  <c r="B21" i="187"/>
  <c r="C21" i="187" s="1"/>
  <c r="E21" i="224" l="1"/>
  <c r="F21" i="224"/>
  <c r="J22" i="224"/>
  <c r="K22" i="224" s="1"/>
  <c r="B22" i="224"/>
  <c r="C22" i="224" s="1"/>
  <c r="B22" i="187"/>
  <c r="C22" i="187" s="1"/>
  <c r="B36" i="185"/>
  <c r="C36" i="185" s="1"/>
  <c r="M21" i="224"/>
  <c r="N21" i="224"/>
  <c r="E21" i="187"/>
  <c r="F21" i="187"/>
  <c r="E22" i="224" l="1"/>
  <c r="E29" i="224" s="1"/>
  <c r="F22" i="224"/>
  <c r="J23" i="224"/>
  <c r="K23" i="224" s="1"/>
  <c r="B23" i="224"/>
  <c r="C23" i="224" s="1"/>
  <c r="B23" i="187"/>
  <c r="C23" i="187" s="1"/>
  <c r="B37" i="185"/>
  <c r="C37" i="185" s="1"/>
  <c r="E22" i="187"/>
  <c r="E29" i="187" s="1"/>
  <c r="F22" i="187"/>
  <c r="M22" i="224"/>
  <c r="M29" i="224" s="1"/>
  <c r="N22" i="224"/>
  <c r="E23" i="224" l="1"/>
  <c r="F23" i="224"/>
  <c r="B24" i="224"/>
  <c r="C24" i="224" s="1"/>
  <c r="J24" i="224"/>
  <c r="K24" i="224" s="1"/>
  <c r="B24" i="187"/>
  <c r="C24" i="187" s="1"/>
  <c r="B38" i="185"/>
  <c r="C38" i="185" s="1"/>
  <c r="E23" i="187"/>
  <c r="F23" i="187"/>
  <c r="M23" i="224"/>
  <c r="N23" i="224"/>
  <c r="E24" i="224" l="1"/>
  <c r="F24" i="224"/>
  <c r="E24" i="187"/>
  <c r="F24" i="187"/>
  <c r="M24" i="224"/>
  <c r="N24" i="224"/>
  <c r="B25" i="224"/>
  <c r="C25" i="224" s="1"/>
  <c r="J25" i="224"/>
  <c r="K25" i="224" s="1"/>
  <c r="B25" i="187"/>
  <c r="C25" i="187" s="1"/>
  <c r="B39" i="185"/>
  <c r="C39" i="185" s="1"/>
  <c r="M25" i="224" l="1"/>
  <c r="N25" i="224"/>
  <c r="E25" i="187"/>
  <c r="F25" i="187"/>
  <c r="E25" i="224"/>
  <c r="F25" i="224"/>
  <c r="B26" i="224"/>
  <c r="C26" i="224" s="1"/>
  <c r="J26" i="224"/>
  <c r="K26" i="224" s="1"/>
  <c r="B40" i="185"/>
  <c r="C40" i="185" s="1"/>
  <c r="B26" i="187"/>
  <c r="C26" i="187" s="1"/>
  <c r="M26" i="224" l="1"/>
  <c r="N26" i="224"/>
  <c r="E26" i="187"/>
  <c r="F26" i="187"/>
  <c r="E26" i="224"/>
  <c r="F26" i="224"/>
  <c r="B27" i="224"/>
  <c r="C27" i="224" s="1"/>
  <c r="J27" i="224"/>
  <c r="K27" i="224" s="1"/>
  <c r="B41" i="185"/>
  <c r="C41" i="185" s="1"/>
  <c r="B27" i="187"/>
  <c r="C27" i="187" s="1"/>
  <c r="E27" i="187" l="1"/>
  <c r="F27" i="187"/>
  <c r="M27" i="224"/>
  <c r="N27" i="224"/>
  <c r="E27" i="224"/>
  <c r="F27" i="224"/>
  <c r="B28" i="224"/>
  <c r="C28" i="224" s="1"/>
  <c r="J28" i="224"/>
  <c r="K28" i="224" s="1"/>
  <c r="B42" i="185"/>
  <c r="C42" i="185" s="1"/>
  <c r="B28" i="187"/>
  <c r="C28" i="187" s="1"/>
  <c r="D18" i="193"/>
  <c r="E18" i="193" s="1"/>
  <c r="D17" i="193"/>
  <c r="E17" i="193" s="1"/>
  <c r="D16" i="193"/>
  <c r="E16" i="193" s="1"/>
  <c r="D10" i="193"/>
  <c r="E10" i="193" s="1"/>
  <c r="D15" i="193"/>
  <c r="E15" i="193" s="1"/>
  <c r="D19" i="193"/>
  <c r="E19" i="193" s="1"/>
  <c r="D9" i="193"/>
  <c r="E9" i="193" s="1"/>
  <c r="D11" i="193"/>
  <c r="E11" i="193" s="1"/>
  <c r="D12" i="193"/>
  <c r="E12" i="193" s="1"/>
  <c r="D13" i="193"/>
  <c r="E13" i="193" s="1"/>
  <c r="D14" i="193"/>
  <c r="E14" i="193" s="1"/>
  <c r="D20" i="193"/>
  <c r="E20" i="193" s="1"/>
  <c r="E21" i="193" l="1"/>
  <c r="M28" i="224"/>
  <c r="N28" i="224"/>
  <c r="E28" i="187"/>
  <c r="F28" i="187"/>
  <c r="E28" i="224"/>
  <c r="F28" i="2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<sst xmlns="http://schemas.openxmlformats.org/spreadsheetml/2006/main" count="380" uniqueCount="103">
  <si>
    <t>Location</t>
  </si>
  <si>
    <t>Description</t>
  </si>
  <si>
    <t>Amount</t>
  </si>
  <si>
    <t>Date</t>
  </si>
  <si>
    <t>Merchant Category</t>
  </si>
  <si>
    <t>Company's Description</t>
  </si>
  <si>
    <t>Category</t>
  </si>
  <si>
    <t>Company</t>
  </si>
  <si>
    <t>Name:</t>
  </si>
  <si>
    <t>Last Update File:</t>
  </si>
  <si>
    <t>Last Update:</t>
  </si>
  <si>
    <t>Trans No.</t>
  </si>
  <si>
    <t>Added Date</t>
  </si>
  <si>
    <t>Version</t>
  </si>
  <si>
    <t>Expense Tracking</t>
  </si>
  <si>
    <t>Source File</t>
  </si>
  <si>
    <t>Account</t>
  </si>
  <si>
    <t>Company Name</t>
  </si>
  <si>
    <t>Account Type</t>
  </si>
  <si>
    <t>Are Transactions Negative?</t>
  </si>
  <si>
    <t>Date Col</t>
  </si>
  <si>
    <t>Description Col</t>
  </si>
  <si>
    <t>Category Col</t>
  </si>
  <si>
    <t>First Transaction Row</t>
  </si>
  <si>
    <t>Are there multiple transaction columns?</t>
  </si>
  <si>
    <t>Amt Col</t>
  </si>
  <si>
    <t>Deposits Col</t>
  </si>
  <si>
    <t>Withdrawals Col</t>
  </si>
  <si>
    <t>Set up your budget here:</t>
  </si>
  <si>
    <t>Total budget:</t>
  </si>
  <si>
    <t>Total Expenses:</t>
  </si>
  <si>
    <t>January</t>
  </si>
  <si>
    <t>February</t>
  </si>
  <si>
    <t>March</t>
  </si>
  <si>
    <t>April</t>
  </si>
  <si>
    <t>May</t>
  </si>
  <si>
    <t>June</t>
  </si>
  <si>
    <t>July</t>
  </si>
  <si>
    <t>August</t>
  </si>
  <si>
    <t>September</t>
  </si>
  <si>
    <t>October</t>
  </si>
  <si>
    <t>November</t>
  </si>
  <si>
    <t>December</t>
  </si>
  <si>
    <t>Month</t>
  </si>
  <si>
    <t>Select Year:</t>
  </si>
  <si>
    <t>All</t>
  </si>
  <si>
    <t>Select Month:</t>
  </si>
  <si>
    <t>Monthly Expenses Dashboard</t>
  </si>
  <si>
    <t>Budget</t>
  </si>
  <si>
    <t>Amount Spent</t>
  </si>
  <si>
    <t>Total difference:</t>
  </si>
  <si>
    <t>Amount Difference</t>
  </si>
  <si>
    <t>% of Spending</t>
  </si>
  <si>
    <t>-</t>
  </si>
  <si>
    <t>Created by: Josh Petersheim (@joshpetersheim)</t>
  </si>
  <si>
    <t>Annual Expenses Dashboard</t>
  </si>
  <si>
    <t>Uncategorized Expenses:</t>
  </si>
  <si>
    <t>Month_List</t>
  </si>
  <si>
    <t>Year_List</t>
  </si>
  <si>
    <t>Category Expenses Dashboard</t>
  </si>
  <si>
    <t>Select Category:</t>
  </si>
  <si>
    <t>Cat_List</t>
  </si>
  <si>
    <t>Average:</t>
  </si>
  <si>
    <t>Amount (monthly)</t>
  </si>
  <si>
    <t>1. On the "Main Tab", start by entering your name. This will also populate your name at the top of the "Expense List".</t>
  </si>
  <si>
    <t>a. Navigate to your bank's / credit card company's website and log in to your account</t>
  </si>
  <si>
    <t>b. Look for "Recent Transactions" / "Account Activity"</t>
  </si>
  <si>
    <t>c. Look for an option to download the data as a .CSV (CSV) or .XLSX (Excel) file</t>
  </si>
  <si>
    <t>2. Download the files listing your transactions from your bank. Banks seem to be constantly changing their online interfaces, so I will provide very general directions.</t>
  </si>
  <si>
    <t>3. Open the file and try to understand it. Which row does the list start in? Which column is the date in? etc.</t>
  </si>
  <si>
    <t>4. Leave the transactions file open and navigate to the "Main Tab" in this workbook. Click on the "Setup Data Import" button.</t>
  </si>
  <si>
    <t>5. A pop-up with all current saved accounts will appear. If you are just starting, the list will be empty. Click "Add new" to add your new account. Another window will pop-up. Fill out each of the details relating to your transaction file. If your transactions file doesn't have a column for one the specified asks leave it blank. Click "Save" and the close the "Accounts" window</t>
  </si>
  <si>
    <t>6. Import your file. If you are doing only one account, you can enter it manually. If you want to import multiple files with different companies or accounts, you can use the auto-import feature. This feature detects the company name and account type in the filename of the selected files. As long as they are set up in your Accounts, it will automatically import those transaction files.</t>
  </si>
  <si>
    <t>Instructions: Importing</t>
  </si>
  <si>
    <t>Instructions: Categorizing</t>
  </si>
  <si>
    <t xml:space="preserve">7. Once data has been imported, you should see that the "Uncategorized Expenses" value has jumped up. </t>
  </si>
  <si>
    <t>Compare Monthly Expenses</t>
  </si>
  <si>
    <t>Chase</t>
  </si>
  <si>
    <t>Credit</t>
  </si>
  <si>
    <t>A</t>
  </si>
  <si>
    <t>C</t>
  </si>
  <si>
    <t>F</t>
  </si>
  <si>
    <t>D</t>
  </si>
  <si>
    <t>ZZ</t>
  </si>
  <si>
    <t>ExpBk_V1.0_51035</t>
  </si>
  <si>
    <t>Checking</t>
  </si>
  <si>
    <t>Year</t>
  </si>
  <si>
    <t>Dog Store</t>
  </si>
  <si>
    <t>Retail</t>
  </si>
  <si>
    <t>Pet Value</t>
  </si>
  <si>
    <t>Ambler</t>
  </si>
  <si>
    <t>A desc</t>
  </si>
  <si>
    <t>ACCOUNT1</t>
  </si>
  <si>
    <t>Sourcefile1</t>
  </si>
  <si>
    <t>Dog</t>
  </si>
  <si>
    <t>8. The next step is to open the Categorizing Form for the Expense List. Click the "Categorize Expenses" button. The form should pop up.</t>
  </si>
  <si>
    <t>9. As the form opens, the current "Expense List" is backed up. In the Categorizing Form you will see a list of all expenses that are pulled from the Expense List sheet. You can select any item(s) in this list to categorize. Once you select an item, you can change the details by editing the information on the left hand side of the form and then selecting the "Categorize Selected" button</t>
  </si>
  <si>
    <t xml:space="preserve">10. Categorize each item. It is easiest  to search for and categorize large chunks of your expenses at a time (i.e. Sunoco, Verizon, Rent) </t>
  </si>
  <si>
    <t>11. As changes are made, the actual sheet will be updated. Closing the form with the top-right "X" or the "Revert" removes all changes.</t>
  </si>
  <si>
    <t>12. If you hit "Save &amp; Close" the back-up sheet is updated and the "Expense List" sheet is left with your changes. The list of Categories will update to reflect and categories you added to the "Expense List". At this point, you should update the amounts for each of your budget items with your estimated spend. As you view the dashboards you can reflect and change these values.</t>
  </si>
  <si>
    <t>13. View the dashboards on any of their respective sheets. If you change the year, month, or category on each sheet  you should see the amounts spent for that period and the liust of transactions for that period.</t>
  </si>
  <si>
    <t>https://github.com/jpetersheim/expense-book</t>
  </si>
  <si>
    <t>Thanks for trying out my project! Please reach out to me on twitter (@joshpetersheim) or find the project on Github to leave feedback or requests. Any feedback is welcome.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</si>
</sst>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7" formatCode="&quot;$&quot;#,##0.00_);\(&quot;$&quot;#,##0.00\)"/>
    <numFmt numFmtId="44" formatCode="_(&quot;$&quot;* #,##0.00_);_(&quot;$&quot;* \(#,##0.00\);_(&quot;$&quot;* &quot;-&quot;??_);_(@_)"/>
    <numFmt numFmtId="164" formatCode="0.0"/>
    <numFmt numFmtId="165" formatCode="dd\-mmm\-yyyy"/>
    <numFmt numFmtId="166" formatCode="[$-409]d\-mmm\-yyyy;@"/>
  </numFmts>
  <fonts count="14" x14ac:knownFonts="1">
    <font>
      <sz val="11"/>
      <color theme="1"/>
      <name val="Calibri"/>
      <family val="2"/>
      <scheme val="minor"/>
    </font>
    <font>
      <sz val="11"/>
      <color theme="1"/>
      <name val="Calibri"/>
      <family val="2"/>
      <scheme val="minor"/>
    </font>
    <font>
      <sz val="11"/>
      <color theme="0"/>
      <name val="Calibri"/>
      <family val="2"/>
      <scheme val="minor"/>
    </font>
    <font>
      <sz val="28"/>
      <color theme="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18"/>
      <color theme="1"/>
      <name val="Calibri"/>
      <family val="2"/>
      <scheme val="minor"/>
    </font>
    <font>
      <sz val="8"/>
      <name val="Calibri"/>
      <family val="2"/>
      <scheme val="minor"/>
    </font>
    <font>
      <sz val="10"/>
      <color rgb="FF000000"/>
      <name val="Calibri"/>
      <family val="2"/>
    </font>
    <font>
      <b/>
      <sz val="11"/>
      <name val="Calibri"/>
      <family val="2"/>
      <scheme val="minor"/>
    </font>
    <font>
      <b/>
      <sz val="11"/>
      <color rgb="FFFF0000"/>
      <name val="Calibri"/>
      <family val="2"/>
      <scheme val="minor"/>
    </font>
    <font>
      <b/>
      <sz val="16"/>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37812B"/>
        <bgColor indexed="64"/>
      </patternFill>
    </fill>
    <fill>
      <patternFill patternType="solid">
        <fgColor theme="2" tint="-0.249977111117893"/>
        <bgColor indexed="64"/>
      </patternFill>
    </fill>
    <fill>
      <patternFill patternType="solid">
        <fgColor theme="9"/>
        <bgColor theme="9"/>
      </patternFill>
    </fill>
    <fill>
      <patternFill patternType="solid">
        <fgColor theme="2" tint="-9.9978637043366805E-2"/>
        <bgColor indexed="64"/>
      </patternFill>
    </fill>
  </fills>
  <borders count="39">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theme="0"/>
      </right>
      <top/>
      <bottom/>
      <diagonal/>
    </border>
    <border>
      <left/>
      <right/>
      <top style="thin">
        <color indexed="64"/>
      </top>
      <bottom style="thin">
        <color theme="0"/>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3" fillId="0" borderId="0" applyNumberFormat="0" applyFill="0" applyBorder="0" applyAlignment="0" applyProtection="0"/>
  </cellStyleXfs>
  <cellXfs count="102">
    <xf numFmtId="0" fontId="0" fillId="0" borderId="0" xfId="0"/>
    <xf numFmtId="164" fontId="0" fillId="0" borderId="0" xfId="0" applyNumberFormat="1"/>
    <xf numFmtId="44" fontId="0" fillId="0" borderId="0" xfId="1" applyFont="1"/>
    <xf numFmtId="0" fontId="0" fillId="3" borderId="0" xfId="0" applyFill="1" applyBorder="1"/>
    <xf numFmtId="0" fontId="3" fillId="3" borderId="0" xfId="0" applyFont="1" applyFill="1" applyBorder="1"/>
    <xf numFmtId="0" fontId="2" fillId="3" borderId="0" xfId="0" applyFont="1" applyFill="1" applyBorder="1" applyAlignment="1">
      <alignment horizontal="right"/>
    </xf>
    <xf numFmtId="164" fontId="2" fillId="3" borderId="0" xfId="0" applyNumberFormat="1" applyFont="1" applyFill="1" applyBorder="1" applyAlignment="1">
      <alignment horizontal="left"/>
    </xf>
    <xf numFmtId="0" fontId="0" fillId="3" borderId="7" xfId="0" applyFill="1" applyBorder="1"/>
    <xf numFmtId="0" fontId="2" fillId="3" borderId="5" xfId="0" applyFont="1" applyFill="1" applyBorder="1"/>
    <xf numFmtId="44" fontId="2" fillId="3" borderId="1" xfId="1" applyFont="1" applyFill="1" applyBorder="1" applyAlignment="1">
      <alignment horizontal="center"/>
    </xf>
    <xf numFmtId="0" fontId="2" fillId="3" borderId="1" xfId="0" applyFont="1" applyFill="1" applyBorder="1" applyAlignment="1">
      <alignment horizontal="center"/>
    </xf>
    <xf numFmtId="0" fontId="2" fillId="3" borderId="6" xfId="0" applyFont="1" applyFill="1" applyBorder="1" applyAlignment="1">
      <alignment horizontal="center"/>
    </xf>
    <xf numFmtId="165" fontId="2" fillId="3" borderId="1" xfId="0" applyNumberFormat="1" applyFont="1" applyFill="1" applyBorder="1" applyAlignment="1">
      <alignment horizontal="center"/>
    </xf>
    <xf numFmtId="165" fontId="0" fillId="0" borderId="0" xfId="0" applyNumberFormat="1" applyAlignment="1">
      <alignment horizontal="left"/>
    </xf>
    <xf numFmtId="0" fontId="0" fillId="0" borderId="8" xfId="0" applyBorder="1"/>
    <xf numFmtId="0" fontId="0" fillId="0" borderId="5" xfId="0" applyBorder="1"/>
    <xf numFmtId="0" fontId="0" fillId="0" borderId="10" xfId="0" applyBorder="1"/>
    <xf numFmtId="0" fontId="5" fillId="3" borderId="12" xfId="0" applyFont="1" applyFill="1" applyBorder="1" applyAlignment="1">
      <alignment horizontal="center"/>
    </xf>
    <xf numFmtId="0" fontId="5" fillId="3" borderId="13" xfId="0" applyFont="1" applyFill="1" applyBorder="1" applyAlignment="1">
      <alignment horizontal="center"/>
    </xf>
    <xf numFmtId="44" fontId="0" fillId="0" borderId="11" xfId="1" applyFont="1" applyBorder="1"/>
    <xf numFmtId="44" fontId="0" fillId="0" borderId="9" xfId="1" applyFont="1" applyBorder="1"/>
    <xf numFmtId="44" fontId="0" fillId="0" borderId="6" xfId="1" applyFont="1" applyBorder="1"/>
    <xf numFmtId="0" fontId="0" fillId="0" borderId="15" xfId="0" applyBorder="1"/>
    <xf numFmtId="44" fontId="0" fillId="0" borderId="16" xfId="1" applyFont="1" applyBorder="1"/>
    <xf numFmtId="0" fontId="6" fillId="0" borderId="17" xfId="0" applyFont="1" applyBorder="1"/>
    <xf numFmtId="44" fontId="0" fillId="0" borderId="18" xfId="1" applyFont="1" applyBorder="1"/>
    <xf numFmtId="0" fontId="0" fillId="0" borderId="0" xfId="0" pivotButton="1"/>
    <xf numFmtId="0" fontId="0" fillId="0" borderId="0" xfId="0" applyAlignment="1">
      <alignment horizontal="left"/>
    </xf>
    <xf numFmtId="0" fontId="2" fillId="3" borderId="19" xfId="0" applyFont="1" applyFill="1" applyBorder="1" applyAlignment="1">
      <alignment horizontal="center"/>
    </xf>
    <xf numFmtId="0" fontId="2" fillId="3" borderId="0" xfId="0" applyFont="1" applyFill="1" applyBorder="1" applyAlignment="1">
      <alignment horizontal="center"/>
    </xf>
    <xf numFmtId="44" fontId="7" fillId="0" borderId="21" xfId="1" applyFont="1" applyBorder="1"/>
    <xf numFmtId="0" fontId="0" fillId="0" borderId="2" xfId="0" applyBorder="1"/>
    <xf numFmtId="44" fontId="0" fillId="0" borderId="4" xfId="1" applyFont="1" applyBorder="1"/>
    <xf numFmtId="0" fontId="7" fillId="0" borderId="20" xfId="0" applyFont="1" applyBorder="1" applyAlignment="1"/>
    <xf numFmtId="7" fontId="0" fillId="0" borderId="0" xfId="1" applyNumberFormat="1" applyFont="1"/>
    <xf numFmtId="44" fontId="0" fillId="0" borderId="14" xfId="1" applyFont="1" applyBorder="1"/>
    <xf numFmtId="0" fontId="6" fillId="0" borderId="0" xfId="0" applyFont="1"/>
    <xf numFmtId="44" fontId="6" fillId="0" borderId="18" xfId="0" applyNumberFormat="1" applyFont="1" applyBorder="1"/>
    <xf numFmtId="9" fontId="0" fillId="0" borderId="9" xfId="2" applyFont="1" applyBorder="1"/>
    <xf numFmtId="44" fontId="0" fillId="0" borderId="1" xfId="1" applyFont="1" applyBorder="1"/>
    <xf numFmtId="9" fontId="0" fillId="0" borderId="6" xfId="2" applyFont="1" applyBorder="1"/>
    <xf numFmtId="44" fontId="0" fillId="0" borderId="23" xfId="1" applyFont="1" applyBorder="1"/>
    <xf numFmtId="44" fontId="0" fillId="4" borderId="14" xfId="0" applyNumberFormat="1" applyFill="1" applyBorder="1"/>
    <xf numFmtId="44" fontId="0" fillId="4" borderId="1" xfId="0" applyNumberFormat="1" applyFill="1" applyBorder="1"/>
    <xf numFmtId="0" fontId="5" fillId="3" borderId="0" xfId="0" applyFont="1" applyFill="1" applyBorder="1" applyAlignment="1">
      <alignment horizontal="right"/>
    </xf>
    <xf numFmtId="0" fontId="0" fillId="0" borderId="25" xfId="0" applyBorder="1"/>
    <xf numFmtId="0" fontId="0" fillId="0" borderId="26" xfId="0" applyBorder="1"/>
    <xf numFmtId="0" fontId="0" fillId="3" borderId="27" xfId="0" applyFill="1" applyBorder="1"/>
    <xf numFmtId="0" fontId="5" fillId="3" borderId="25" xfId="0" applyFont="1" applyFill="1" applyBorder="1" applyAlignment="1">
      <alignment horizontal="right"/>
    </xf>
    <xf numFmtId="0" fontId="5" fillId="3" borderId="28" xfId="0" applyFont="1" applyFill="1" applyBorder="1" applyAlignment="1">
      <alignment horizontal="center" vertical="center"/>
    </xf>
    <xf numFmtId="0" fontId="5" fillId="3" borderId="29" xfId="0" applyFont="1" applyFill="1" applyBorder="1" applyAlignment="1">
      <alignment horizontal="center" vertical="center"/>
    </xf>
    <xf numFmtId="166" fontId="2" fillId="3" borderId="1" xfId="0" applyNumberFormat="1" applyFont="1" applyFill="1" applyBorder="1"/>
    <xf numFmtId="166" fontId="0" fillId="0" borderId="0" xfId="0" applyNumberFormat="1" applyBorder="1"/>
    <xf numFmtId="0" fontId="6" fillId="0" borderId="0" xfId="0" applyFont="1" applyAlignment="1">
      <alignment wrapText="1"/>
    </xf>
    <xf numFmtId="15" fontId="0" fillId="0" borderId="0" xfId="0" applyNumberFormat="1"/>
    <xf numFmtId="7" fontId="0" fillId="0" borderId="0" xfId="0" applyNumberFormat="1"/>
    <xf numFmtId="44" fontId="6" fillId="0" borderId="0" xfId="1" applyFont="1"/>
    <xf numFmtId="0" fontId="5" fillId="3" borderId="20" xfId="0" applyFont="1" applyFill="1" applyBorder="1" applyAlignment="1">
      <alignment horizontal="center"/>
    </xf>
    <xf numFmtId="0" fontId="5" fillId="3" borderId="22" xfId="0" applyFont="1" applyFill="1" applyBorder="1" applyAlignment="1">
      <alignment horizontal="center"/>
    </xf>
    <xf numFmtId="0" fontId="5" fillId="3" borderId="21" xfId="0" applyFont="1" applyFill="1" applyBorder="1" applyAlignment="1">
      <alignment horizontal="center"/>
    </xf>
    <xf numFmtId="0" fontId="5" fillId="5" borderId="30" xfId="0" applyFont="1" applyFill="1" applyBorder="1"/>
    <xf numFmtId="44" fontId="5" fillId="5" borderId="31" xfId="1" applyNumberFormat="1" applyFont="1" applyFill="1" applyBorder="1"/>
    <xf numFmtId="0" fontId="5" fillId="5" borderId="31" xfId="0" applyFont="1" applyFill="1" applyBorder="1" applyAlignment="1">
      <alignment wrapText="1"/>
    </xf>
    <xf numFmtId="0" fontId="5" fillId="5" borderId="31" xfId="0" applyFont="1" applyFill="1" applyBorder="1"/>
    <xf numFmtId="0" fontId="5" fillId="5" borderId="32" xfId="0" applyFont="1" applyFill="1" applyBorder="1"/>
    <xf numFmtId="0" fontId="10" fillId="0" borderId="0" xfId="0" applyFont="1" applyAlignment="1">
      <alignment horizontal="right"/>
    </xf>
    <xf numFmtId="0" fontId="11" fillId="0" borderId="14" xfId="0" applyFont="1" applyBorder="1" applyAlignment="1">
      <alignment horizontal="center"/>
    </xf>
    <xf numFmtId="0" fontId="0" fillId="0" borderId="33" xfId="0" applyBorder="1"/>
    <xf numFmtId="0" fontId="0" fillId="0" borderId="34" xfId="0" applyBorder="1"/>
    <xf numFmtId="0" fontId="0" fillId="0" borderId="35" xfId="0" applyBorder="1"/>
    <xf numFmtId="0" fontId="5" fillId="3" borderId="7" xfId="0" applyFont="1" applyFill="1" applyBorder="1" applyAlignment="1">
      <alignment horizontal="right"/>
    </xf>
    <xf numFmtId="0" fontId="0" fillId="0" borderId="0" xfId="0" quotePrefix="1"/>
    <xf numFmtId="44" fontId="0" fillId="0" borderId="3" xfId="1" applyFont="1" applyBorder="1"/>
    <xf numFmtId="44" fontId="0" fillId="4" borderId="3" xfId="0" applyNumberFormat="1" applyFill="1" applyBorder="1"/>
    <xf numFmtId="9" fontId="0" fillId="0" borderId="4" xfId="2" applyFont="1" applyBorder="1"/>
    <xf numFmtId="44" fontId="0" fillId="0" borderId="24" xfId="1" applyFont="1" applyBorder="1"/>
    <xf numFmtId="0" fontId="5" fillId="3" borderId="36" xfId="0" applyFont="1" applyFill="1" applyBorder="1" applyAlignment="1">
      <alignment horizontal="center"/>
    </xf>
    <xf numFmtId="0" fontId="5" fillId="3" borderId="37" xfId="0" applyFont="1" applyFill="1" applyBorder="1" applyAlignment="1">
      <alignment horizontal="center"/>
    </xf>
    <xf numFmtId="0" fontId="5" fillId="3" borderId="38" xfId="0" applyFont="1" applyFill="1" applyBorder="1" applyAlignment="1">
      <alignment horizontal="center"/>
    </xf>
    <xf numFmtId="9" fontId="0" fillId="0" borderId="0" xfId="2" applyFont="1" applyFill="1" applyBorder="1"/>
    <xf numFmtId="0" fontId="6" fillId="0" borderId="17" xfId="0" applyFont="1" applyFill="1" applyBorder="1"/>
    <xf numFmtId="44" fontId="0" fillId="0" borderId="18" xfId="1" applyFont="1" applyFill="1" applyBorder="1"/>
    <xf numFmtId="0" fontId="0" fillId="0" borderId="0" xfId="0" applyAlignment="1">
      <alignment wrapText="1"/>
    </xf>
    <xf numFmtId="6" fontId="0" fillId="0" borderId="0" xfId="1" applyNumberFormat="1" applyFont="1"/>
    <xf numFmtId="0" fontId="0" fillId="0" borderId="0" xfId="0" applyAlignment="1">
      <alignment horizontal="left" wrapText="1"/>
    </xf>
    <xf numFmtId="0" fontId="3" fillId="3" borderId="0" xfId="0" applyFont="1" applyFill="1" applyBorder="1" applyAlignment="1">
      <alignment horizontal="left"/>
    </xf>
    <xf numFmtId="0" fontId="0" fillId="0" borderId="0" xfId="0" applyAlignment="1">
      <alignment wrapText="1"/>
    </xf>
    <xf numFmtId="0" fontId="0" fillId="0" borderId="2" xfId="0" applyBorder="1" applyAlignment="1">
      <alignment horizontal="center"/>
    </xf>
    <xf numFmtId="0" fontId="0" fillId="0" borderId="4" xfId="0" applyBorder="1" applyAlignment="1">
      <alignment horizontal="center"/>
    </xf>
    <xf numFmtId="22" fontId="0" fillId="2" borderId="8" xfId="0" applyNumberFormat="1" applyFill="1" applyBorder="1" applyAlignment="1">
      <alignment horizontal="center"/>
    </xf>
    <xf numFmtId="22" fontId="0" fillId="2" borderId="9"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left" vertical="top" wrapText="1"/>
    </xf>
    <xf numFmtId="0" fontId="0" fillId="0" borderId="0" xfId="0" applyAlignment="1">
      <alignment vertical="top" wrapText="1"/>
    </xf>
    <xf numFmtId="0" fontId="13" fillId="0" borderId="0" xfId="3"/>
    <xf numFmtId="0" fontId="6" fillId="0" borderId="0" xfId="0" applyFont="1" applyAlignment="1">
      <alignment horizontal="left" vertical="top" wrapText="1"/>
    </xf>
    <xf numFmtId="0" fontId="0" fillId="6" borderId="0" xfId="0" applyFill="1"/>
    <xf numFmtId="0" fontId="12" fillId="0" borderId="7" xfId="0" applyFont="1" applyBorder="1" applyAlignment="1">
      <alignment horizontal="center"/>
    </xf>
  </cellXfs>
  <cellStyles count="4">
    <cellStyle name="Currency" xfId="1" builtinId="4"/>
    <cellStyle name="Hyperlink" xfId="3" builtinId="8"/>
    <cellStyle name="Normal" xfId="0" builtinId="0"/>
    <cellStyle name="Percent" xfId="2" builtinId="5"/>
  </cellStyles>
  <dxfs count="7">
    <dxf>
      <font>
        <color rgb="FFFF0000"/>
      </font>
    </dxf>
    <dxf>
      <font>
        <color rgb="FF00660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006600"/>
      <color rgb="FF3781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Dashboard'!$B$9</c:f>
              <c:strCache>
                <c:ptCount val="1"/>
              </c:strCache>
            </c:strRef>
          </c:tx>
          <c:spPr>
            <a:solidFill>
              <a:schemeClr val="accent6"/>
            </a:solidFill>
            <a:ln>
              <a:noFill/>
            </a:ln>
            <a:effectLst/>
          </c:spPr>
          <c:invertIfNegative val="0"/>
          <c:cat>
            <c:strRef>
              <c:f>'Monthly Dashboard'!$C$8</c:f>
              <c:strCache>
                <c:ptCount val="1"/>
                <c:pt idx="0">
                  <c:v>Amount Spent</c:v>
                </c:pt>
              </c:strCache>
            </c:strRef>
          </c:cat>
          <c:val>
            <c:numRef>
              <c:f>'Monthly Dashboard'!$C$9</c:f>
              <c:numCache>
                <c:formatCode>_("$"* #,##0.00_);_("$"* \(#,##0.00\);_("$"* "-"??_);_(@_)</c:formatCode>
                <c:ptCount val="1"/>
                <c:pt idx="0">
                  <c:v>0</c:v>
                </c:pt>
              </c:numCache>
            </c:numRef>
          </c:val>
          <c:extLst>
            <c:ext xmlns:c16="http://schemas.microsoft.com/office/drawing/2014/chart" uri="{C3380CC4-5D6E-409C-BE32-E72D297353CC}">
              <c16:uniqueId val="{00000000-A074-441A-9059-19D0FD37E2B8}"/>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'Category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'Category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2D3-4FD4-967F-E1524D508B14}"/>
            </c:ext>
          </c:extLst>
        </c:ser>
        <c:dLbls>
          <c:showLegendKey val="0"/>
          <c:showVal val="0"/>
          <c:showCatName val="0"/>
          <c:showSerName val="0"/>
          <c:showPercent val="0"/>
          <c:showBubbleSize val="0"/>
        </c:dLbls>
        <c:marker val="1"/>
        <c:smooth val="0"/>
        <c:axId val="1442685231"/>
        <c:axId val="1442668815"/>
      </c:line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'Annual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'Annual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7C2-46AD-85E3-9FEDAA54BB41}"/>
            </c:ext>
          </c:extLst>
        </c:ser>
        <c:dLbls>
          <c:showLegendKey val="0"/>
          <c:showVal val="0"/>
          <c:showCatName val="0"/>
          <c:showSerName val="0"/>
          <c:showPercent val="0"/>
          <c:showBubbleSize val="0"/>
        </c:dLbls>
        <c:marker val="1"/>
        <c:smooth val="0"/>
        <c:axId val="1499442463"/>
        <c:axId val="1499447039"/>
      </c:lineChart>
      <c:catAx>
        <c:axId val="149944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7039"/>
        <c:crosses val="autoZero"/>
        <c:auto val="1"/>
        <c:lblAlgn val="ctr"/>
        <c:lblOffset val="100"/>
        <c:noMultiLvlLbl val="0"/>
      </c:catAx>
      <c:valAx>
        <c:axId val="149944703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'Annual Dashboard'!$B$23:$B$41</c:f>
            </c:strRef>
          </c:cat>
          <c:val>
            <c:numRef>
              <c:f>'Annual Dashboard'!$C$23:$C$41</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BAA-4A32-A686-EEC82647FFFE}"/>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'Monthly Dashboard'!$B$9:$B$27</c:f>
            </c: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0C7C-47A7-8ED7-947FC650EB0C}"/>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'Monthly Dashboard'!$B$9:$B$27</c:f>
            </c: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103-4A8D-A6E8-9B20A7F01C7D}"/>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1666875</xdr:colOff>
          <xdr:row>9</xdr:row>
          <xdr:rowOff>57150</xdr:rowOff>
        </xdr:from>
        <xdr:to>
          <xdr:col>3</xdr:col>
          <xdr:colOff>447675</xdr:colOff>
          <xdr:row>11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12</xdr:row>
          <xdr:rowOff>95250</xdr:rowOff>
        </xdr:from>
        <xdr:to>
          <xdr:col>3</xdr:col>
          <xdr:colOff>466725</xdr:colOff>
          <xdr:row>14</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Categorize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17</xdr:row>
          <xdr:rowOff>66675</xdr:rowOff>
        </xdr:from>
        <xdr:to>
          <xdr:col>3</xdr:col>
          <xdr:colOff>485775</xdr:colOff>
          <xdr:row>19</xdr:row>
          <xdr:rowOff>142875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9</xdr:row>
          <xdr:rowOff>57150</xdr:rowOff>
        </xdr:from>
        <xdr:to>
          <xdr:col>2</xdr:col>
          <xdr:colOff>1066800</xdr:colOff>
          <xdr:row>11</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Setup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57150</xdr:rowOff>
        </xdr:from>
        <xdr:to>
          <xdr:col>6</xdr:col>
          <xdr:colOff>438150</xdr:colOff>
          <xdr:row>8</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Get Categories from Expense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12</xdr:row>
          <xdr:rowOff>57150</xdr:rowOff>
        </xdr:from>
        <xdr:to>
          <xdr:col>2</xdr:col>
          <xdr:colOff>1066800</xdr:colOff>
          <xdr:row>14</xdr:row>
          <xdr:rowOff>123825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15</xdr:row>
          <xdr:rowOff>57150</xdr:rowOff>
        </xdr:from>
        <xdr:to>
          <xdr:col>2</xdr:col>
          <xdr:colOff>1066800</xdr:colOff>
          <xdr:row>17</xdr:row>
          <xdr:rowOff>123825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Import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3" name="Category_Spending">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380999</xdr:colOff>
      <xdr:row>21</xdr:row>
      <xdr:rowOff>176211</xdr:rowOff>
    </xdr:from>
    <xdr:to>
      <xdr:col>5</xdr:col>
      <xdr:colOff>933449</xdr:colOff>
      <xdr:row>39</xdr:row>
      <xdr:rowOff>95249</xdr:rowOff>
    </xdr:to>
    <xdr:graphicFrame macro="">
      <xdr:nvGraphicFramePr>
        <xdr:cNvPr id="2" name="Category_Spending">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247650</xdr:colOff>
      <xdr:row>6</xdr:row>
      <xdr:rowOff>185736</xdr:rowOff>
    </xdr:from>
    <xdr:to>
      <xdr:col>5</xdr:col>
      <xdr:colOff>466725</xdr:colOff>
      <xdr:row>23</xdr:row>
      <xdr:rowOff>85724</xdr:rowOff>
    </xdr:to>
    <xdr:graphicFrame macro="">
      <xdr:nvGraphicFramePr>
        <xdr:cNvPr id="3" name="Month_Spending">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238124</xdr:colOff>
      <xdr:row>24</xdr:row>
      <xdr:rowOff>23811</xdr:rowOff>
    </xdr:from>
    <xdr:to>
      <xdr:col>5</xdr:col>
      <xdr:colOff>476250</xdr:colOff>
      <xdr:row>40</xdr:row>
      <xdr:rowOff>104774</xdr:rowOff>
    </xdr:to>
    <xdr:graphicFrame macro="">
      <xdr:nvGraphicFramePr>
        <xdr:cNvPr id="5" name="Category_Spending">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66675</xdr:colOff>
          <xdr:row>5</xdr:row>
          <xdr:rowOff>9525</xdr:rowOff>
        </xdr:from>
        <xdr:to>
          <xdr:col>8</xdr:col>
          <xdr:colOff>628650</xdr:colOff>
          <xdr:row>6</xdr:row>
          <xdr:rowOff>19050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2" name="Category_Spending">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29</xdr:row>
      <xdr:rowOff>171450</xdr:rowOff>
    </xdr:from>
    <xdr:to>
      <xdr:col>13</xdr:col>
      <xdr:colOff>933450</xdr:colOff>
      <xdr:row>47</xdr:row>
      <xdr:rowOff>90488</xdr:rowOff>
    </xdr:to>
    <xdr:graphicFrame macro="">
      <xdr:nvGraphicFramePr>
        <xdr:cNvPr id="5" name="Category_Spending_2">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E06F4-6DB7-4CEC-B763-7B1527052701}" name="TransTable_Annual" displayName="TransTable_Annual" ref="H8:M9" insertRow="1" totalsRowShown="0" headerRowDxfId="6">
  <autoFilter ref="H8:M9" xr:uid="{ABFDA116-EB47-4A71-804B-5A5DCA676F78}"/>
  <sortState xmlns:xlrd2="http://schemas.microsoft.com/office/spreadsheetml/2017/richdata2" ref="H8:M8">
    <sortCondition ref="K8"/>
  </sortState>
  <tableColumns count="6">
    <tableColumn id="1" xr3:uid="{95CA414B-11B5-453E-AC72-60B9F4C69723}" name="Date"/>
    <tableColumn id="2" xr3:uid="{A769AF64-B15B-4760-8A64-5BB4CA7ABDF5}" name="Amount" dataCellStyle="Currency"/>
    <tableColumn id="3" xr3:uid="{4E431390-5715-4384-98A1-C90A7342EDA1}" name="Company's Description"/>
    <tableColumn id="4" xr3:uid="{8A431961-F900-499F-B890-062D1564F6DE}" name="Category"/>
    <tableColumn id="5" xr3:uid="{31D286DB-1309-4633-9FD8-B3FE3AD07CE1}" name="Description"/>
    <tableColumn id="6" xr3:uid="{02684E0B-0234-45AC-B2F1-B9E52181550A}" name="Accoun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D0CAF5-122F-4200-8DDE-D34A7DE3AB91}" name="TransTable_Annual2" displayName="TransTable_Annual2" ref="H8:M9" insertRow="1" totalsRowShown="0" headerRowDxfId="5">
  <autoFilter ref="H8:M9" xr:uid="{ABFDA116-EB47-4A71-804B-5A5DCA676F78}"/>
  <sortState xmlns:xlrd2="http://schemas.microsoft.com/office/spreadsheetml/2017/richdata2" ref="H8:M8">
    <sortCondition ref="K8"/>
  </sortState>
  <tableColumns count="6">
    <tableColumn id="1" xr3:uid="{6BDEEC18-28EA-4A8E-80A6-09B6E273E9B4}" name="Date"/>
    <tableColumn id="2" xr3:uid="{E79B7E64-FDC9-488D-9AF4-1C6205616A56}" name="Amount" dataCellStyle="Currency"/>
    <tableColumn id="3" xr3:uid="{FCEB7D7F-9273-448A-900B-7E5BF7260F17}" name="Company's Description"/>
    <tableColumn id="4" xr3:uid="{89059C49-9FDB-43BD-9E5C-E3ECBD4F417D}" name="Category"/>
    <tableColumn id="5" xr3:uid="{39E588A7-4DE5-48F0-988E-19F51CAB3291}" name="Description"/>
    <tableColumn id="6" xr3:uid="{CECF756B-9232-467E-BED0-21810586E2E8}" name="Account"/>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77BC39-2645-4AD7-91EC-B6AAEA47F547}" name="TransTable_Monthly" displayName="TransTable_Monthly" ref="H8:M9" insertRow="1" totalsRowShown="0" headerRowDxfId="4" headerRowBorderDxfId="3" tableBorderDxfId="2">
  <autoFilter ref="H8:M9" xr:uid="{37F9556F-11BE-4EA2-BC70-673D66A87726}"/>
  <sortState xmlns:xlrd2="http://schemas.microsoft.com/office/spreadsheetml/2017/richdata2" ref="H8:M8">
    <sortCondition ref="H8"/>
  </sortState>
  <tableColumns count="6">
    <tableColumn id="1" xr3:uid="{5478DBA4-A1C9-4A35-AFDA-A86F8ADA0733}" name="Date"/>
    <tableColumn id="2" xr3:uid="{E909A849-E67F-40F3-96E5-875912205F21}" name="Amount"/>
    <tableColumn id="3" xr3:uid="{2AA3A530-761C-45E0-A388-95872E8288BF}" name="Company's Description"/>
    <tableColumn id="4" xr3:uid="{FCE96447-806F-40A7-BED2-E38A10E61065}" name="Category"/>
    <tableColumn id="5" xr3:uid="{6D66B66E-F227-4F84-8074-10EC1558070D}" name="Description"/>
    <tableColumn id="6" xr3:uid="{63887C13-31D0-4E54-B6CD-4B62F3771F43}" name="Accou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github.com/jpetersheim/expense-book"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A595-9BFD-4573-AEF0-0CAE14210181}">
  <sheetPr codeName="Sheet5">
    <tabColor theme="7" tint="0.39997558519241921"/>
  </sheetPr>
  <dimension ref="B1:I26"/>
  <sheetViews>
    <sheetView showGridLines="0" tabSelected="1" workbookViewId="0">
      <selection activeCell="B2" sqref="B2:C2"/>
    </sheetView>
  </sheetViews>
  <sheetFormatPr defaultRowHeight="15" x14ac:dyDescent="0.25"/>
  <cols>
    <col min="2" max="2" width="17.140625" customWidth="1"/>
    <col min="3" max="3" width="46.5703125" customWidth="1"/>
    <col min="4" max="4" width="2.85546875" customWidth="1"/>
    <col min="5" max="5" width="1.42578125" customWidth="1"/>
    <col min="6" max="6" width="2.85546875" customWidth="1"/>
    <col min="7" max="7" width="17.140625" customWidth="1"/>
    <col min="8" max="8" width="46.5703125" customWidth="1"/>
    <col min="9" max="9" width="17.7109375" bestFit="1" customWidth="1"/>
  </cols>
  <sheetData>
    <row r="1" spans="2:9" s="3" customFormat="1" x14ac:dyDescent="0.25">
      <c r="I1" s="3" t="s">
        <v>54</v>
      </c>
    </row>
    <row r="2" spans="2:9" s="3" customFormat="1" ht="35.25" customHeight="1" x14ac:dyDescent="0.55000000000000004">
      <c r="B2" s="85" t="s">
        <v>14</v>
      </c>
      <c r="C2" s="85"/>
    </row>
    <row r="3" spans="2:9" s="3" customFormat="1" x14ac:dyDescent="0.25">
      <c r="B3" s="5" t="s">
        <v>13</v>
      </c>
      <c r="C3" s="6">
        <v>1</v>
      </c>
    </row>
    <row r="4" spans="2:9" s="7" customFormat="1" x14ac:dyDescent="0.25"/>
    <row r="5" spans="2:9" ht="13.5" customHeight="1" x14ac:dyDescent="0.25">
      <c r="C5" s="1"/>
    </row>
    <row r="6" spans="2:9" ht="21" x14ac:dyDescent="0.35">
      <c r="B6" s="101" t="s">
        <v>73</v>
      </c>
      <c r="C6" s="101"/>
      <c r="E6" s="100"/>
      <c r="G6" s="101" t="s">
        <v>74</v>
      </c>
      <c r="H6" s="101"/>
    </row>
    <row r="7" spans="2:9" x14ac:dyDescent="0.25">
      <c r="E7" s="100"/>
    </row>
    <row r="8" spans="2:9" ht="31.5" customHeight="1" x14ac:dyDescent="0.25">
      <c r="B8" s="84" t="s">
        <v>64</v>
      </c>
      <c r="C8" s="84"/>
      <c r="E8" s="100"/>
      <c r="G8" s="84" t="s">
        <v>75</v>
      </c>
      <c r="H8" s="84"/>
    </row>
    <row r="9" spans="2:9" x14ac:dyDescent="0.25">
      <c r="E9" s="100"/>
    </row>
    <row r="10" spans="2:9" ht="44.25" customHeight="1" x14ac:dyDescent="0.25">
      <c r="B10" s="84" t="s">
        <v>68</v>
      </c>
      <c r="C10" s="84"/>
      <c r="E10" s="100"/>
      <c r="G10" s="96" t="s">
        <v>95</v>
      </c>
      <c r="H10" s="96"/>
    </row>
    <row r="11" spans="2:9" ht="30" customHeight="1" x14ac:dyDescent="0.25">
      <c r="C11" s="82" t="s">
        <v>65</v>
      </c>
      <c r="E11" s="100"/>
      <c r="G11" s="96" t="s">
        <v>96</v>
      </c>
      <c r="H11" s="96"/>
    </row>
    <row r="12" spans="2:9" ht="30" x14ac:dyDescent="0.25">
      <c r="C12" s="82" t="s">
        <v>66</v>
      </c>
      <c r="E12" s="100"/>
      <c r="G12" s="96"/>
      <c r="H12" s="96"/>
    </row>
    <row r="13" spans="2:9" ht="30" x14ac:dyDescent="0.25">
      <c r="C13" s="82" t="s">
        <v>67</v>
      </c>
      <c r="E13" s="100"/>
      <c r="G13" s="96"/>
      <c r="H13" s="96"/>
    </row>
    <row r="14" spans="2:9" x14ac:dyDescent="0.25">
      <c r="E14" s="100"/>
      <c r="G14" s="97"/>
      <c r="H14" s="97"/>
    </row>
    <row r="15" spans="2:9" ht="30" customHeight="1" x14ac:dyDescent="0.25">
      <c r="B15" s="84" t="s">
        <v>69</v>
      </c>
      <c r="C15" s="84"/>
      <c r="E15" s="100"/>
      <c r="G15" s="96" t="s">
        <v>97</v>
      </c>
      <c r="H15" s="96"/>
    </row>
    <row r="16" spans="2:9" x14ac:dyDescent="0.25">
      <c r="E16" s="100"/>
    </row>
    <row r="17" spans="2:8" ht="30" customHeight="1" x14ac:dyDescent="0.25">
      <c r="B17" s="84" t="s">
        <v>70</v>
      </c>
      <c r="C17" s="84"/>
      <c r="E17" s="100"/>
      <c r="G17" s="96" t="s">
        <v>98</v>
      </c>
      <c r="H17" s="96"/>
    </row>
    <row r="18" spans="2:8" x14ac:dyDescent="0.25">
      <c r="E18" s="100"/>
    </row>
    <row r="19" spans="2:8" ht="92.25" customHeight="1" x14ac:dyDescent="0.25">
      <c r="B19" s="86" t="s">
        <v>71</v>
      </c>
      <c r="C19" s="86"/>
      <c r="E19" s="100"/>
      <c r="G19" s="96" t="s">
        <v>99</v>
      </c>
      <c r="H19" s="96"/>
    </row>
    <row r="20" spans="2:8" x14ac:dyDescent="0.25">
      <c r="E20" s="100"/>
    </row>
    <row r="21" spans="2:8" ht="90" customHeight="1" x14ac:dyDescent="0.25">
      <c r="B21" s="84" t="s">
        <v>72</v>
      </c>
      <c r="C21" s="84"/>
      <c r="E21" s="100"/>
      <c r="G21" s="96" t="s">
        <v>100</v>
      </c>
      <c r="H21" s="96"/>
    </row>
    <row r="22" spans="2:8" ht="9" customHeight="1" x14ac:dyDescent="0.25">
      <c r="B22" s="100"/>
      <c r="C22" s="100"/>
      <c r="D22" s="100"/>
      <c r="E22" s="100"/>
      <c r="F22" s="100"/>
      <c r="G22" s="100"/>
      <c r="H22" s="100"/>
    </row>
    <row r="23" spans="2:8" x14ac:dyDescent="0.25">
      <c r="G23" s="99" t="s">
        <v>102</v>
      </c>
      <c r="H23" s="99"/>
    </row>
    <row r="24" spans="2:8" ht="15" customHeight="1" x14ac:dyDescent="0.25">
      <c r="G24" s="99"/>
      <c r="H24" s="99"/>
    </row>
    <row r="25" spans="2:8" x14ac:dyDescent="0.25">
      <c r="G25" s="99"/>
      <c r="H25" s="99"/>
    </row>
    <row r="26" spans="2:8" x14ac:dyDescent="0.25">
      <c r="G26" s="98" t="s">
        <v>101</v>
      </c>
    </row>
  </sheetData>
  <protectedRanges>
    <protectedRange sqref="C6:F6" name="Range1"/>
    <protectedRange sqref="H11:I30" name="Range2"/>
  </protectedRanges>
  <mergeCells count="17">
    <mergeCell ref="G17:H17"/>
    <mergeCell ref="G19:H19"/>
    <mergeCell ref="G21:H21"/>
    <mergeCell ref="G23:H25"/>
    <mergeCell ref="G10:H10"/>
    <mergeCell ref="G11:H13"/>
    <mergeCell ref="G15:H15"/>
    <mergeCell ref="B10:C10"/>
    <mergeCell ref="B15:C15"/>
    <mergeCell ref="B17:C17"/>
    <mergeCell ref="B19:C19"/>
    <mergeCell ref="B21:C21"/>
    <mergeCell ref="G6:H6"/>
    <mergeCell ref="G8:H8"/>
    <mergeCell ref="B2:C2"/>
    <mergeCell ref="B6:C6"/>
    <mergeCell ref="B8:C8"/>
  </mergeCells>
  <hyperlinks>
    <hyperlink ref="G26" r:id="rId1" xr:uid="{05C3A309-4417-476E-97DB-CAAAD40F3F7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F3B-4DDE-4235-814F-7D0C452D1DB9}">
  <sheetPr codeName="Sheet4">
    <tabColor rgb="FF006600"/>
  </sheetPr>
  <dimension ref="B1:J31"/>
  <sheetViews>
    <sheetView showGridLines="0" zoomScaleNormal="100" workbookViewId="0">
      <selection activeCell="C6" sqref="C6:D6"/>
    </sheetView>
  </sheetViews>
  <sheetFormatPr defaultRowHeight="15" x14ac:dyDescent="0.25"/>
  <cols>
    <col min="2" max="2" width="17.140625" customWidth="1"/>
    <col min="3" max="3" width="46.5703125" customWidth="1"/>
    <col min="6" max="6" width="17" customWidth="1"/>
    <col min="7" max="7" width="17.7109375" bestFit="1" customWidth="1"/>
  </cols>
  <sheetData>
    <row r="1" spans="2:10" s="3" customFormat="1" x14ac:dyDescent="0.25">
      <c r="J1" s="3" t="s">
        <v>54</v>
      </c>
    </row>
    <row r="2" spans="2:10" s="3" customFormat="1" ht="35.25" customHeight="1" x14ac:dyDescent="0.55000000000000004">
      <c r="B2" s="85" t="s">
        <v>14</v>
      </c>
      <c r="C2" s="85"/>
    </row>
    <row r="3" spans="2:10" s="3" customFormat="1" x14ac:dyDescent="0.25">
      <c r="B3" s="5" t="s">
        <v>13</v>
      </c>
      <c r="C3" s="6">
        <v>1</v>
      </c>
    </row>
    <row r="4" spans="2:10" s="7" customFormat="1" x14ac:dyDescent="0.25"/>
    <row r="5" spans="2:10" ht="13.5" customHeight="1" thickBot="1" x14ac:dyDescent="0.3">
      <c r="C5" s="1"/>
    </row>
    <row r="6" spans="2:10" x14ac:dyDescent="0.25">
      <c r="B6" s="67" t="s">
        <v>8</v>
      </c>
      <c r="C6" s="87"/>
      <c r="D6" s="88"/>
      <c r="F6" t="s">
        <v>28</v>
      </c>
    </row>
    <row r="7" spans="2:10" x14ac:dyDescent="0.25">
      <c r="B7" s="68" t="s">
        <v>10</v>
      </c>
      <c r="C7" s="89"/>
      <c r="D7" s="90"/>
    </row>
    <row r="8" spans="2:10" ht="15.75" thickBot="1" x14ac:dyDescent="0.3">
      <c r="B8" s="69" t="s">
        <v>9</v>
      </c>
      <c r="C8" s="91"/>
      <c r="D8" s="92"/>
    </row>
    <row r="9" spans="2:10" ht="15.75" thickBot="1" x14ac:dyDescent="0.3"/>
    <row r="10" spans="2:10" ht="15.75" thickBot="1" x14ac:dyDescent="0.3">
      <c r="F10" s="17" t="s">
        <v>6</v>
      </c>
      <c r="G10" s="18" t="s">
        <v>63</v>
      </c>
    </row>
    <row r="11" spans="2:10" x14ac:dyDescent="0.25">
      <c r="F11" s="16"/>
      <c r="G11" s="19"/>
    </row>
    <row r="12" spans="2:10" x14ac:dyDescent="0.25">
      <c r="F12" s="14"/>
      <c r="G12" s="19"/>
    </row>
    <row r="13" spans="2:10" x14ac:dyDescent="0.25">
      <c r="F13" s="14"/>
      <c r="G13" s="19"/>
    </row>
    <row r="14" spans="2:10" x14ac:dyDescent="0.25">
      <c r="F14" s="14"/>
      <c r="G14" s="19"/>
    </row>
    <row r="15" spans="2:10" x14ac:dyDescent="0.25">
      <c r="F15" s="14"/>
      <c r="G15" s="19"/>
    </row>
    <row r="16" spans="2:10" x14ac:dyDescent="0.25">
      <c r="C16" s="65" t="s">
        <v>56</v>
      </c>
      <c r="D16" s="66">
        <f>COUNTBLANK(INDEX(ExpenseList,,6))</f>
        <v>0</v>
      </c>
      <c r="F16" s="14"/>
      <c r="G16" s="19"/>
    </row>
    <row r="17" spans="6:7" x14ac:dyDescent="0.25">
      <c r="F17" s="14"/>
      <c r="G17" s="19"/>
    </row>
    <row r="18" spans="6:7" x14ac:dyDescent="0.25">
      <c r="F18" s="14"/>
      <c r="G18" s="19"/>
    </row>
    <row r="19" spans="6:7" x14ac:dyDescent="0.25">
      <c r="F19" s="14"/>
      <c r="G19" s="19"/>
    </row>
    <row r="20" spans="6:7" x14ac:dyDescent="0.25">
      <c r="F20" s="14"/>
      <c r="G20" s="19"/>
    </row>
    <row r="21" spans="6:7" x14ac:dyDescent="0.25">
      <c r="F21" s="14"/>
      <c r="G21" s="19"/>
    </row>
    <row r="22" spans="6:7" x14ac:dyDescent="0.25">
      <c r="F22" s="14"/>
      <c r="G22" s="19"/>
    </row>
    <row r="23" spans="6:7" x14ac:dyDescent="0.25">
      <c r="F23" s="14"/>
      <c r="G23" s="19"/>
    </row>
    <row r="24" spans="6:7" x14ac:dyDescent="0.25">
      <c r="F24" s="14"/>
      <c r="G24" s="19"/>
    </row>
    <row r="25" spans="6:7" x14ac:dyDescent="0.25">
      <c r="F25" s="14"/>
      <c r="G25" s="20"/>
    </row>
    <row r="26" spans="6:7" x14ac:dyDescent="0.25">
      <c r="F26" s="14"/>
      <c r="G26" s="20"/>
    </row>
    <row r="27" spans="6:7" x14ac:dyDescent="0.25">
      <c r="F27" s="14"/>
      <c r="G27" s="20"/>
    </row>
    <row r="28" spans="6:7" x14ac:dyDescent="0.25">
      <c r="F28" s="14"/>
      <c r="G28" s="20"/>
    </row>
    <row r="29" spans="6:7" x14ac:dyDescent="0.25">
      <c r="F29" s="14"/>
      <c r="G29" s="20"/>
    </row>
    <row r="30" spans="6:7" ht="15.75" thickBot="1" x14ac:dyDescent="0.3">
      <c r="F30" s="22"/>
      <c r="G30" s="23"/>
    </row>
    <row r="31" spans="6:7" ht="16.5" thickTop="1" thickBot="1" x14ac:dyDescent="0.3">
      <c r="F31" s="24" t="s">
        <v>29</v>
      </c>
      <c r="G31" s="25">
        <f>SUM(G11:G30)</f>
        <v>0</v>
      </c>
    </row>
  </sheetData>
  <protectedRanges>
    <protectedRange sqref="C6:D6" name="Range1"/>
    <protectedRange sqref="F11:G30" name="Range2"/>
  </protectedRanges>
  <mergeCells count="4">
    <mergeCell ref="B2:C2"/>
    <mergeCell ref="C6:D6"/>
    <mergeCell ref="C7:D7"/>
    <mergeCell ref="C8:D8"/>
  </mergeCells>
  <conditionalFormatting sqref="D16">
    <cfRule type="cellIs" dxfId="1" priority="1" operator="equal">
      <formula>0</formula>
    </cfRule>
    <cfRule type="cellIs" dxfId="0"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Data">
                <anchor moveWithCells="1" sizeWithCells="1">
                  <from>
                    <xdr:col>2</xdr:col>
                    <xdr:colOff>1666875</xdr:colOff>
                    <xdr:row>9</xdr:row>
                    <xdr:rowOff>57150</xdr:rowOff>
                  </from>
                  <to>
                    <xdr:col>3</xdr:col>
                    <xdr:colOff>447675</xdr:colOff>
                    <xdr:row>11</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ThisWorkbook.CategorizeTrans">
                <anchor moveWithCells="1" sizeWithCells="1">
                  <from>
                    <xdr:col>2</xdr:col>
                    <xdr:colOff>1704975</xdr:colOff>
                    <xdr:row>12</xdr:row>
                    <xdr:rowOff>95250</xdr:rowOff>
                  </from>
                  <to>
                    <xdr:col>3</xdr:col>
                    <xdr:colOff>466725</xdr:colOff>
                    <xdr:row>14</xdr:row>
                    <xdr:rowOff>104775</xdr:rowOff>
                  </to>
                </anchor>
              </controlPr>
            </control>
          </mc:Choice>
        </mc:AlternateContent>
        <mc:AlternateContent xmlns:mc="http://schemas.openxmlformats.org/markup-compatibility/2006">
          <mc:Choice Requires="x14">
            <control shapeId="1029" r:id="rId6" name="Button 5">
              <controlPr defaultSize="0" print="0" autoFill="0" autoPict="0" macro="[0]!RemoveImports">
                <anchor moveWithCells="1" sizeWithCells="1">
                  <from>
                    <xdr:col>2</xdr:col>
                    <xdr:colOff>1704975</xdr:colOff>
                    <xdr:row>17</xdr:row>
                    <xdr:rowOff>66675</xdr:rowOff>
                  </from>
                  <to>
                    <xdr:col>3</xdr:col>
                    <xdr:colOff>485775</xdr:colOff>
                    <xdr:row>19</xdr:row>
                    <xdr:rowOff>142875</xdr:rowOff>
                  </to>
                </anchor>
              </controlPr>
            </control>
          </mc:Choice>
        </mc:AlternateContent>
        <mc:AlternateContent xmlns:mc="http://schemas.openxmlformats.org/markup-compatibility/2006">
          <mc:Choice Requires="x14">
            <control shapeId="1030" r:id="rId7" name="Button 6">
              <controlPr defaultSize="0" print="0" autoFill="0" autoPict="0" macro="[0]!SetupImports">
                <anchor moveWithCells="1" sizeWithCells="1">
                  <from>
                    <xdr:col>1</xdr:col>
                    <xdr:colOff>276225</xdr:colOff>
                    <xdr:row>9</xdr:row>
                    <xdr:rowOff>57150</xdr:rowOff>
                  </from>
                  <to>
                    <xdr:col>2</xdr:col>
                    <xdr:colOff>1066800</xdr:colOff>
                    <xdr:row>11</xdr:row>
                    <xdr:rowOff>114300</xdr:rowOff>
                  </to>
                </anchor>
              </controlPr>
            </control>
          </mc:Choice>
        </mc:AlternateContent>
        <mc:AlternateContent xmlns:mc="http://schemas.openxmlformats.org/markup-compatibility/2006">
          <mc:Choice Requires="x14">
            <control shapeId="1034" r:id="rId8" name="Button 10">
              <controlPr defaultSize="0" print="0" autoFill="0" autoPict="0" macro="[0]!GetCategs">
                <anchor moveWithCells="1">
                  <from>
                    <xdr:col>5</xdr:col>
                    <xdr:colOff>409575</xdr:colOff>
                    <xdr:row>6</xdr:row>
                    <xdr:rowOff>57150</xdr:rowOff>
                  </from>
                  <to>
                    <xdr:col>6</xdr:col>
                    <xdr:colOff>438150</xdr:colOff>
                    <xdr:row>8</xdr:row>
                    <xdr:rowOff>85725</xdr:rowOff>
                  </to>
                </anchor>
              </controlPr>
            </control>
          </mc:Choice>
        </mc:AlternateContent>
        <mc:AlternateContent xmlns:mc="http://schemas.openxmlformats.org/markup-compatibility/2006">
          <mc:Choice Requires="x14">
            <control shapeId="1038" r:id="rId9" name="Button 14">
              <controlPr defaultSize="0" print="0" autoFill="0" autoPict="0" macro="[0]!ImportSettings">
                <anchor moveWithCells="1" sizeWithCells="1">
                  <from>
                    <xdr:col>1</xdr:col>
                    <xdr:colOff>276225</xdr:colOff>
                    <xdr:row>12</xdr:row>
                    <xdr:rowOff>57150</xdr:rowOff>
                  </from>
                  <to>
                    <xdr:col>2</xdr:col>
                    <xdr:colOff>1066800</xdr:colOff>
                    <xdr:row>14</xdr:row>
                    <xdr:rowOff>123825</xdr:rowOff>
                  </to>
                </anchor>
              </controlPr>
            </control>
          </mc:Choice>
        </mc:AlternateContent>
        <mc:AlternateContent xmlns:mc="http://schemas.openxmlformats.org/markup-compatibility/2006">
          <mc:Choice Requires="x14">
            <control shapeId="1039" r:id="rId10" name="Button 15">
              <controlPr defaultSize="0" print="0" autoFill="0" autoPict="0" macro="[0]!ExportSettings">
                <anchor moveWithCells="1" sizeWithCells="1">
                  <from>
                    <xdr:col>1</xdr:col>
                    <xdr:colOff>276225</xdr:colOff>
                    <xdr:row>15</xdr:row>
                    <xdr:rowOff>57150</xdr:rowOff>
                  </from>
                  <to>
                    <xdr:col>2</xdr:col>
                    <xdr:colOff>1066800</xdr:colOff>
                    <xdr:row>17</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DD53A-051F-4D65-B22D-B2389573FDF4}">
  <sheetPr codeName="Sheet7">
    <tabColor theme="4" tint="-0.499984740745262"/>
  </sheetPr>
  <dimension ref="B1:M29"/>
  <sheetViews>
    <sheetView showGridLines="0" workbookViewId="0">
      <selection activeCell="J12" sqref="J12"/>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47</v>
      </c>
    </row>
    <row r="3" spans="2:13" s="3" customFormat="1" x14ac:dyDescent="0.25">
      <c r="B3" s="44" t="s">
        <v>44</v>
      </c>
      <c r="C3" s="49" t="s">
        <v>45</v>
      </c>
    </row>
    <row r="4" spans="2:13" s="7" customFormat="1" x14ac:dyDescent="0.25">
      <c r="B4" s="70" t="s">
        <v>46</v>
      </c>
      <c r="C4" s="50" t="s">
        <v>45</v>
      </c>
    </row>
    <row r="5" spans="2:13" ht="15.75" thickBot="1" x14ac:dyDescent="0.3"/>
    <row r="6" spans="2:13" ht="24" thickBot="1" x14ac:dyDescent="0.4">
      <c r="B6" s="33" t="s">
        <v>30</v>
      </c>
      <c r="C6" s="30">
        <f>IF($C$3="All",
IF($C$4="All",SUM(INDEX(ExpenseList,,3)),
SUMIFS(INDEX(ExpenseList,,3),INDEX(ExpenseList,,13),$C$4)),
IF($C$4="All",SUMIFS(INDEX(ExpenseList,,3),INDEX(ExpenseList,,14),$C$3),
SUMIFS(INDEX(ExpenseList,,3),INDEX(ExpenseList,,13),$C$4,INDEX(ExpenseList,,14),$C$3)))</f>
        <v>0</v>
      </c>
    </row>
    <row r="7" spans="2:13" ht="15.75" thickBot="1" x14ac:dyDescent="0.3">
      <c r="H7" s="36"/>
    </row>
    <row r="8" spans="2:13" ht="15.75" thickBot="1" x14ac:dyDescent="0.3">
      <c r="B8" s="57" t="s">
        <v>6</v>
      </c>
      <c r="C8" s="58" t="s">
        <v>49</v>
      </c>
      <c r="D8" s="58" t="s">
        <v>48</v>
      </c>
      <c r="E8" s="58" t="s">
        <v>51</v>
      </c>
      <c r="F8" s="59" t="s">
        <v>52</v>
      </c>
      <c r="H8" s="36" t="s">
        <v>3</v>
      </c>
      <c r="I8" s="56" t="s">
        <v>2</v>
      </c>
      <c r="J8" s="53" t="s">
        <v>5</v>
      </c>
      <c r="K8" s="36" t="s">
        <v>6</v>
      </c>
      <c r="L8" s="36" t="s">
        <v>1</v>
      </c>
      <c r="M8" s="36" t="s">
        <v>16</v>
      </c>
    </row>
    <row r="9" spans="2:13"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row>
    <row r="10" spans="2:13" x14ac:dyDescent="0.25">
      <c r="B10" s="14" t="str">
        <f>IF(INDEX(BudgetCat,2)=0,"",INDEX(BudgetCat,2))</f>
        <v/>
      </c>
      <c r="C10" s="41">
        <f t="shared" si="0"/>
        <v>0</v>
      </c>
      <c r="D10" s="35">
        <v>0</v>
      </c>
      <c r="E10" s="42">
        <f t="shared" ref="E10:E28" si="1">D10-C10</f>
        <v>0</v>
      </c>
      <c r="F10" s="38" t="e">
        <f t="shared" ref="F10:F28" si="2">IF(C10/$C$6=0,"",C10/$C$6)</f>
        <v>#DIV/0!</v>
      </c>
    </row>
    <row r="11" spans="2:13" x14ac:dyDescent="0.25">
      <c r="B11" s="14" t="str">
        <f>IF(INDEX(BudgetCat,3)=0,"",INDEX(BudgetCat,3))</f>
        <v/>
      </c>
      <c r="C11" s="41">
        <f t="shared" si="0"/>
        <v>0</v>
      </c>
      <c r="D11" s="35">
        <v>0</v>
      </c>
      <c r="E11" s="42">
        <f t="shared" si="1"/>
        <v>0</v>
      </c>
      <c r="F11" s="38" t="e">
        <f t="shared" si="2"/>
        <v>#DIV/0!</v>
      </c>
    </row>
    <row r="12" spans="2:13" x14ac:dyDescent="0.25">
      <c r="B12" s="14" t="str">
        <f>IF(INDEX(BudgetCat,4)=0,"",INDEX(BudgetCat,4))</f>
        <v/>
      </c>
      <c r="C12" s="41">
        <f t="shared" si="0"/>
        <v>0</v>
      </c>
      <c r="D12" s="35">
        <v>0</v>
      </c>
      <c r="E12" s="42">
        <f t="shared" si="1"/>
        <v>0</v>
      </c>
      <c r="F12" s="38" t="e">
        <f t="shared" si="2"/>
        <v>#DIV/0!</v>
      </c>
    </row>
    <row r="13" spans="2:13" x14ac:dyDescent="0.25">
      <c r="B13" s="14" t="str">
        <f>IF(INDEX(BudgetCat,5)=0,"",INDEX(BudgetCat,5))</f>
        <v/>
      </c>
      <c r="C13" s="41">
        <f t="shared" si="0"/>
        <v>0</v>
      </c>
      <c r="D13" s="35">
        <v>0</v>
      </c>
      <c r="E13" s="42">
        <f t="shared" si="1"/>
        <v>0</v>
      </c>
      <c r="F13" s="38" t="e">
        <f t="shared" si="2"/>
        <v>#DIV/0!</v>
      </c>
    </row>
    <row r="14" spans="2:13" x14ac:dyDescent="0.25">
      <c r="B14" s="14" t="str">
        <f>IF(INDEX(BudgetCat,6)=0,"",INDEX(BudgetCat,6))</f>
        <v/>
      </c>
      <c r="C14" s="41">
        <f t="shared" si="0"/>
        <v>0</v>
      </c>
      <c r="D14" s="35">
        <v>0</v>
      </c>
      <c r="E14" s="42">
        <f t="shared" si="1"/>
        <v>0</v>
      </c>
      <c r="F14" s="38" t="e">
        <f t="shared" si="2"/>
        <v>#DIV/0!</v>
      </c>
    </row>
    <row r="15" spans="2:13" x14ac:dyDescent="0.25">
      <c r="B15" s="14" t="str">
        <f>IF(INDEX(BudgetCat,7)=0,"",INDEX(BudgetCat,7))</f>
        <v/>
      </c>
      <c r="C15" s="41">
        <f t="shared" si="0"/>
        <v>0</v>
      </c>
      <c r="D15" s="35">
        <v>0</v>
      </c>
      <c r="E15" s="42">
        <f t="shared" si="1"/>
        <v>0</v>
      </c>
      <c r="F15" s="38" t="e">
        <f t="shared" si="2"/>
        <v>#DIV/0!</v>
      </c>
    </row>
    <row r="16" spans="2:13" x14ac:dyDescent="0.25">
      <c r="B16" s="14" t="str">
        <f>IF(INDEX(BudgetCat,8)=0,"",INDEX(BudgetCat,8))</f>
        <v/>
      </c>
      <c r="C16" s="41">
        <f t="shared" si="0"/>
        <v>0</v>
      </c>
      <c r="D16" s="35">
        <v>0</v>
      </c>
      <c r="E16" s="42">
        <f t="shared" si="1"/>
        <v>0</v>
      </c>
      <c r="F16" s="38" t="e">
        <f t="shared" si="2"/>
        <v>#DIV/0!</v>
      </c>
    </row>
    <row r="17" spans="2:6" x14ac:dyDescent="0.25">
      <c r="B17" s="14" t="str">
        <f>IF(INDEX(BudgetCat,9)=0,"",INDEX(BudgetCat,9))</f>
        <v/>
      </c>
      <c r="C17" s="41">
        <f t="shared" si="0"/>
        <v>0</v>
      </c>
      <c r="D17" s="35">
        <v>0</v>
      </c>
      <c r="E17" s="42">
        <f t="shared" si="1"/>
        <v>0</v>
      </c>
      <c r="F17" s="38" t="e">
        <f t="shared" si="2"/>
        <v>#DIV/0!</v>
      </c>
    </row>
    <row r="18" spans="2:6" x14ac:dyDescent="0.25">
      <c r="B18" s="14" t="str">
        <f>IF(INDEX(BudgetCat,10)=0,"",INDEX(BudgetCat,10))</f>
        <v/>
      </c>
      <c r="C18" s="41">
        <f t="shared" si="0"/>
        <v>0</v>
      </c>
      <c r="D18" s="35">
        <v>0</v>
      </c>
      <c r="E18" s="42">
        <f t="shared" si="1"/>
        <v>0</v>
      </c>
      <c r="F18" s="38" t="e">
        <f t="shared" si="2"/>
        <v>#DIV/0!</v>
      </c>
    </row>
    <row r="19" spans="2:6" x14ac:dyDescent="0.25">
      <c r="B19" s="14" t="str">
        <f>IF(INDEX(BudgetCat,11)=0,"",INDEX(BudgetCat,11))</f>
        <v/>
      </c>
      <c r="C19" s="41">
        <f t="shared" si="0"/>
        <v>0</v>
      </c>
      <c r="D19" s="35">
        <v>0</v>
      </c>
      <c r="E19" s="42">
        <f t="shared" si="1"/>
        <v>0</v>
      </c>
      <c r="F19" s="38" t="e">
        <f t="shared" si="2"/>
        <v>#DIV/0!</v>
      </c>
    </row>
    <row r="20" spans="2:6" x14ac:dyDescent="0.25">
      <c r="B20" s="14" t="str">
        <f>IF(INDEX(BudgetCat,12)=0,"",INDEX(BudgetCat,12))</f>
        <v/>
      </c>
      <c r="C20" s="41">
        <f t="shared" si="0"/>
        <v>0</v>
      </c>
      <c r="D20" s="35">
        <v>0</v>
      </c>
      <c r="E20" s="42">
        <f t="shared" si="1"/>
        <v>0</v>
      </c>
      <c r="F20" s="38" t="e">
        <f t="shared" si="2"/>
        <v>#DIV/0!</v>
      </c>
    </row>
    <row r="21" spans="2:6" x14ac:dyDescent="0.25">
      <c r="B21" s="14" t="str">
        <f>IF(INDEX(BudgetCat,13)=0,"",INDEX(BudgetCat,13))</f>
        <v/>
      </c>
      <c r="C21" s="41">
        <f t="shared" si="0"/>
        <v>0</v>
      </c>
      <c r="D21" s="35">
        <v>0</v>
      </c>
      <c r="E21" s="42">
        <f t="shared" si="1"/>
        <v>0</v>
      </c>
      <c r="F21" s="38" t="e">
        <f t="shared" si="2"/>
        <v>#DIV/0!</v>
      </c>
    </row>
    <row r="22" spans="2:6" x14ac:dyDescent="0.25">
      <c r="B22" s="14" t="str">
        <f>IF(INDEX(BudgetCat,14)=0,"",INDEX(BudgetCat,14))</f>
        <v/>
      </c>
      <c r="C22" s="41">
        <f t="shared" si="0"/>
        <v>0</v>
      </c>
      <c r="D22" s="35">
        <v>0</v>
      </c>
      <c r="E22" s="42">
        <f t="shared" si="1"/>
        <v>0</v>
      </c>
      <c r="F22" s="38" t="e">
        <f t="shared" si="2"/>
        <v>#DIV/0!</v>
      </c>
    </row>
    <row r="23" spans="2:6" x14ac:dyDescent="0.25">
      <c r="B23" s="14" t="str">
        <f>IF(INDEX(BudgetCat,15)=0,"",INDEX(BudgetCat,15))</f>
        <v/>
      </c>
      <c r="C23" s="41">
        <f t="shared" si="0"/>
        <v>0</v>
      </c>
      <c r="D23" s="35">
        <v>0</v>
      </c>
      <c r="E23" s="42">
        <f t="shared" si="1"/>
        <v>0</v>
      </c>
      <c r="F23" s="38" t="e">
        <f t="shared" si="2"/>
        <v>#DIV/0!</v>
      </c>
    </row>
    <row r="24" spans="2:6" x14ac:dyDescent="0.25">
      <c r="B24" s="14" t="str">
        <f>IF(INDEX(BudgetCat,16)=0,"",INDEX(BudgetCat,16))</f>
        <v/>
      </c>
      <c r="C24" s="41">
        <f t="shared" si="0"/>
        <v>0</v>
      </c>
      <c r="D24" s="35">
        <v>0</v>
      </c>
      <c r="E24" s="42">
        <f t="shared" si="1"/>
        <v>0</v>
      </c>
      <c r="F24" s="38" t="e">
        <f t="shared" si="2"/>
        <v>#DIV/0!</v>
      </c>
    </row>
    <row r="25" spans="2:6" x14ac:dyDescent="0.25">
      <c r="B25" s="14" t="str">
        <f>IF(INDEX(BudgetCat,17)=0,"",INDEX(BudgetCat,17))</f>
        <v/>
      </c>
      <c r="C25" s="41">
        <f t="shared" si="0"/>
        <v>0</v>
      </c>
      <c r="D25" s="35">
        <v>0</v>
      </c>
      <c r="E25" s="42">
        <f t="shared" si="1"/>
        <v>0</v>
      </c>
      <c r="F25" s="38" t="e">
        <f t="shared" si="2"/>
        <v>#DIV/0!</v>
      </c>
    </row>
    <row r="26" spans="2:6" x14ac:dyDescent="0.25">
      <c r="B26" s="14" t="str">
        <f>IF(INDEX(BudgetCat,18)=0,"",INDEX(BudgetCat,18))</f>
        <v/>
      </c>
      <c r="C26" s="41">
        <f t="shared" si="0"/>
        <v>0</v>
      </c>
      <c r="D26" s="35">
        <v>0</v>
      </c>
      <c r="E26" s="42">
        <f t="shared" si="1"/>
        <v>0</v>
      </c>
      <c r="F26" s="38" t="e">
        <f t="shared" si="2"/>
        <v>#DIV/0!</v>
      </c>
    </row>
    <row r="27" spans="2:6" x14ac:dyDescent="0.25">
      <c r="B27" s="14" t="str">
        <f>IF(INDEX(BudgetCat,19)=0,"",INDEX(BudgetCat,19))</f>
        <v/>
      </c>
      <c r="C27" s="41">
        <f t="shared" si="0"/>
        <v>0</v>
      </c>
      <c r="D27" s="35">
        <v>0</v>
      </c>
      <c r="E27" s="42">
        <f t="shared" si="1"/>
        <v>0</v>
      </c>
      <c r="F27" s="38" t="e">
        <f t="shared" si="2"/>
        <v>#DIV/0!</v>
      </c>
    </row>
    <row r="28" spans="2:6" ht="15.75" thickBot="1" x14ac:dyDescent="0.3">
      <c r="B28" s="15" t="str">
        <f>IF(INDEX(BudgetCat,20)=0,"",INDEX(BudgetCat,20))</f>
        <v/>
      </c>
      <c r="C28" s="75">
        <f t="shared" si="0"/>
        <v>0</v>
      </c>
      <c r="D28" s="39">
        <v>0</v>
      </c>
      <c r="E28" s="43">
        <f t="shared" si="1"/>
        <v>0</v>
      </c>
      <c r="F28" s="40" t="e">
        <f t="shared" si="2"/>
        <v>#DIV/0!</v>
      </c>
    </row>
    <row r="29" spans="2:6" ht="15.75" thickBot="1" x14ac:dyDescent="0.3">
      <c r="D29" s="24" t="s">
        <v>50</v>
      </c>
      <c r="E29" s="37">
        <f>SUM(E9:E22)</f>
        <v>0</v>
      </c>
    </row>
  </sheetData>
  <sheetProtection autoFilter="0"/>
  <protectedRanges>
    <protectedRange sqref="C3:C4" name="Range1"/>
  </protectedRanges>
  <conditionalFormatting sqref="E9:E28">
    <cfRule type="dataBar" priority="2">
      <dataBar>
        <cfvo type="min"/>
        <cfvo type="max"/>
        <color rgb="FF63C384"/>
      </dataBar>
      <extLst>
        <ext xmlns:x14="http://schemas.microsoft.com/office/spreadsheetml/2009/9/main" uri="{B025F937-C7B1-47D3-B67F-A62EFF666E3E}">
          <x14:id>{E4610CC6-773E-4EBC-994C-0A6B86EFC3F0}</x14:id>
        </ext>
      </extLst>
    </cfRule>
  </conditionalFormatting>
  <conditionalFormatting sqref="F9:F28">
    <cfRule type="colorScale" priority="1">
      <colorScale>
        <cfvo type="min"/>
        <cfvo type="max"/>
        <color rgb="FFFCFCFF"/>
        <color rgb="FFF8696B"/>
      </colorScale>
    </cfRule>
  </conditionalFormatting>
  <dataValidations count="2">
    <dataValidation type="list" allowBlank="1" showInputMessage="1" showErrorMessage="1" sqref="C3" xr:uid="{248DEA84-AE33-4BBB-B72B-325883EAFA31}">
      <formula1>Year_List</formula1>
    </dataValidation>
    <dataValidation type="list" allowBlank="1" showInputMessage="1" showErrorMessage="1" sqref="C4" xr:uid="{F7BCA76A-C0A2-4F94-9BA8-D8B12E256A4A}">
      <formula1>Month_List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1" r:id="rId3" name="Button 9">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E4610CC6-773E-4EBC-994C-0A6B86EFC3F0}">
            <x14:dataBar minLength="0" maxLength="100" gradient="0">
              <x14:cfvo type="autoMin"/>
              <x14:cfvo type="autoMax"/>
              <x14:negativeFillColor rgb="FFFF0000"/>
              <x14:axisColor rgb="FF000000"/>
            </x14:dataBar>
          </x14:cfRule>
          <xm:sqref>E9:E28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CBEEF-91C9-4604-A215-45FBD3F9A711}">
  <sheetPr codeName="Sheet8">
    <tabColor theme="5" tint="0.39997558519241921"/>
  </sheetPr>
  <dimension ref="A1:N2"/>
  <sheetViews>
    <sheetView showGridLines="0" workbookViewId="0">
      <pane ySplit="2" topLeftCell="A3" activePane="bottomLeft" state="frozen"/>
      <selection pane="bottomLeft" activeCell="K16" sqref="K16"/>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3" t="str">
        <f>_xlfn.CONCAT('Main Tab'!C6, "'s Expenses")</f>
        <v>'s Expenses</v>
      </c>
      <c r="B1" s="94"/>
      <c r="C1" s="94"/>
      <c r="D1" s="94"/>
      <c r="E1" s="94"/>
      <c r="F1" s="94"/>
      <c r="G1" s="94"/>
      <c r="H1" s="94"/>
      <c r="I1" s="94"/>
      <c r="J1" s="94"/>
      <c r="K1" s="94"/>
      <c r="L1" s="95"/>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
        <v>43</v>
      </c>
      <c r="N2" s="29" t="s">
        <v>86</v>
      </c>
    </row>
  </sheetData>
  <sheetProtection formatCells="0" formatColumns="0" formatRows="0" sort="0" autoFilter="0" pivotTables="0"/>
  <autoFilter ref="A2:L2" xr:uid="{3F802A19-A867-4C64-943B-91A2164712DA}"/>
  <dataConsolidate link="1"/>
  <mergeCells count="1">
    <mergeCell ref="A1:L1"/>
  </mergeCells>
  <phoneticPr fontId="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0AC3-639F-466C-A6A4-BA1CFD8E2418}">
  <sheetPr codeName="Sheet2"/>
  <dimension ref="B2:HL6"/>
  <sheetViews>
    <sheetView workbookViewId="0">
      <selection activeCell="D1048548" sqref="D1048548"/>
    </sheetView>
  </sheetViews>
  <sheetFormatPr defaultRowHeight="15" x14ac:dyDescent="0.25"/>
  <cols>
    <col min="2" max="2" width="10.85546875" bestFit="1" customWidth="1"/>
    <col min="3" max="3" width="8.85546875" bestFit="1" customWidth="1"/>
    <col min="5" max="5" width="14" bestFit="1" customWidth="1"/>
    <col min="6" max="6" width="14.85546875" bestFit="1" customWidth="1"/>
    <col min="7" max="7" width="11.5703125" bestFit="1" customWidth="1"/>
    <col min="8" max="8" width="13.140625" bestFit="1" customWidth="1"/>
    <col min="9" max="9" width="14.85546875" bestFit="1" customWidth="1"/>
    <col min="10" max="10" width="16.28515625" bestFit="1" customWidth="1"/>
    <col min="11" max="11" width="13.140625" bestFit="1" customWidth="1"/>
    <col min="12" max="12" width="14.85546875" bestFit="1" customWidth="1"/>
    <col min="13" max="218" width="16.28515625" bestFit="1" customWidth="1"/>
    <col min="219" max="220" width="12.7109375" bestFit="1" customWidth="1"/>
  </cols>
  <sheetData>
    <row r="2" spans="2:220" x14ac:dyDescent="0.25">
      <c r="B2" t="s">
        <v>57</v>
      </c>
      <c r="C2" t="s">
        <v>58</v>
      </c>
      <c r="D2" t="s">
        <v>61</v>
      </c>
    </row>
    <row r="3" spans="2:220" x14ac:dyDescent="0.25">
      <c r="B3" s="71" t="s">
        <v>53</v>
      </c>
      <c r="C3" s="71" t="s">
        <v>53</v>
      </c>
      <c r="D3" t="s">
        <v>53</v>
      </c>
      <c r="F3" s="27"/>
    </row>
    <row r="4" spans="2:220" x14ac:dyDescent="0.25">
      <c r="B4" t="s">
        <v>45</v>
      </c>
      <c r="C4" t="s">
        <v>45</v>
      </c>
      <c r="D4" t="s">
        <v>45</v>
      </c>
      <c r="L4" s="27"/>
    </row>
    <row r="5" spans="2:220" x14ac:dyDescent="0.25">
      <c r="D5" t="s">
        <v>94</v>
      </c>
    </row>
    <row r="6" spans="2:220" x14ac:dyDescent="0.25">
      <c r="J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row>
  </sheetData>
  <sortState xmlns:xlrd2="http://schemas.microsoft.com/office/spreadsheetml/2017/richdata2" ref="C5:C13">
    <sortCondition descending="1" ref="C5:C104857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9883-6B27-4D62-BB0F-0BEDA7384AEA}">
  <sheetPr codeName="Sheet9">
    <tabColor theme="5" tint="0.39997558519241921"/>
  </sheetPr>
  <dimension ref="A1:N25"/>
  <sheetViews>
    <sheetView showGridLines="0" workbookViewId="0">
      <pane ySplit="2" topLeftCell="A3" activePane="bottomLeft" state="frozen"/>
      <selection pane="bottomLeft" activeCell="G32" sqref="G32"/>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3" t="str">
        <f>_xlfn.CONCAT('Main Tab'!C6, "'s Expenses")</f>
        <v>'s Expenses</v>
      </c>
      <c r="B1" s="94"/>
      <c r="C1" s="94"/>
      <c r="D1" s="94"/>
      <c r="E1" s="94"/>
      <c r="F1" s="94"/>
      <c r="G1" s="94"/>
      <c r="H1" s="94"/>
      <c r="I1" s="94"/>
      <c r="J1" s="94"/>
      <c r="K1" s="94"/>
      <c r="L1" s="95"/>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
        <v>43</v>
      </c>
      <c r="N2" s="29" t="s">
        <v>86</v>
      </c>
    </row>
    <row r="3" spans="1:14" x14ac:dyDescent="0.25">
      <c r="A3">
        <v>1</v>
      </c>
      <c r="B3" s="52">
        <v>44285</v>
      </c>
      <c r="C3" s="83">
        <v>50</v>
      </c>
      <c r="D3" t="s">
        <v>87</v>
      </c>
      <c r="E3" t="s">
        <v>88</v>
      </c>
      <c r="F3" t="s">
        <v>94</v>
      </c>
      <c r="G3" t="s">
        <v>89</v>
      </c>
      <c r="H3" t="s">
        <v>90</v>
      </c>
      <c r="I3" t="s">
        <v>91</v>
      </c>
      <c r="J3" t="s">
        <v>92</v>
      </c>
      <c r="K3" s="13">
        <v>44285</v>
      </c>
      <c r="L3" t="s">
        <v>93</v>
      </c>
      <c r="M3" t="str">
        <f t="shared" ref="M3:M25" si="0">TEXT(B3,"mmmm")</f>
        <v>March</v>
      </c>
      <c r="N3">
        <f t="shared" ref="N3:N25" si="1">YEAR(B3)</f>
        <v>2021</v>
      </c>
    </row>
    <row r="4" spans="1:14" x14ac:dyDescent="0.25">
      <c r="A4">
        <v>2</v>
      </c>
      <c r="B4" s="52">
        <v>44285</v>
      </c>
      <c r="C4" s="83">
        <v>50</v>
      </c>
      <c r="D4" t="s">
        <v>87</v>
      </c>
      <c r="E4" t="s">
        <v>88</v>
      </c>
      <c r="F4" t="s">
        <v>94</v>
      </c>
      <c r="G4" t="s">
        <v>89</v>
      </c>
      <c r="H4" t="s">
        <v>90</v>
      </c>
      <c r="I4" t="s">
        <v>91</v>
      </c>
      <c r="J4" t="s">
        <v>92</v>
      </c>
      <c r="K4" s="13">
        <v>44285</v>
      </c>
      <c r="L4" t="s">
        <v>93</v>
      </c>
      <c r="M4" t="str">
        <f t="shared" si="0"/>
        <v>March</v>
      </c>
      <c r="N4">
        <f t="shared" si="1"/>
        <v>2021</v>
      </c>
    </row>
    <row r="5" spans="1:14" x14ac:dyDescent="0.25">
      <c r="A5">
        <v>3</v>
      </c>
      <c r="B5" s="52">
        <v>44285</v>
      </c>
      <c r="C5" s="83">
        <v>50</v>
      </c>
      <c r="D5" t="s">
        <v>87</v>
      </c>
      <c r="E5" t="s">
        <v>88</v>
      </c>
      <c r="F5" t="s">
        <v>94</v>
      </c>
      <c r="G5" t="s">
        <v>89</v>
      </c>
      <c r="H5" t="s">
        <v>90</v>
      </c>
      <c r="I5" t="s">
        <v>91</v>
      </c>
      <c r="J5" t="s">
        <v>92</v>
      </c>
      <c r="K5" s="13">
        <v>44285</v>
      </c>
      <c r="L5" t="s">
        <v>93</v>
      </c>
      <c r="M5" t="str">
        <f t="shared" si="0"/>
        <v>March</v>
      </c>
      <c r="N5">
        <f t="shared" si="1"/>
        <v>2021</v>
      </c>
    </row>
    <row r="6" spans="1:14" x14ac:dyDescent="0.25">
      <c r="A6">
        <v>4</v>
      </c>
      <c r="B6" s="52">
        <v>44285</v>
      </c>
      <c r="C6" s="83">
        <v>50</v>
      </c>
      <c r="D6" t="s">
        <v>87</v>
      </c>
      <c r="E6" t="s">
        <v>88</v>
      </c>
      <c r="F6" t="s">
        <v>94</v>
      </c>
      <c r="G6" t="s">
        <v>89</v>
      </c>
      <c r="H6" t="s">
        <v>90</v>
      </c>
      <c r="I6" t="s">
        <v>91</v>
      </c>
      <c r="J6" t="s">
        <v>92</v>
      </c>
      <c r="K6" s="13">
        <v>44285</v>
      </c>
      <c r="L6" t="s">
        <v>93</v>
      </c>
      <c r="M6" t="str">
        <f t="shared" si="0"/>
        <v>March</v>
      </c>
      <c r="N6">
        <f t="shared" si="1"/>
        <v>2021</v>
      </c>
    </row>
    <row r="7" spans="1:14" x14ac:dyDescent="0.25">
      <c r="A7">
        <v>5</v>
      </c>
      <c r="B7" s="52">
        <v>44285</v>
      </c>
      <c r="C7" s="83">
        <v>50</v>
      </c>
      <c r="D7" t="s">
        <v>87</v>
      </c>
      <c r="E7" t="s">
        <v>88</v>
      </c>
      <c r="F7" t="s">
        <v>94</v>
      </c>
      <c r="G7" t="s">
        <v>89</v>
      </c>
      <c r="H7" t="s">
        <v>90</v>
      </c>
      <c r="I7" t="s">
        <v>91</v>
      </c>
      <c r="J7" t="s">
        <v>92</v>
      </c>
      <c r="K7" s="13">
        <v>44285</v>
      </c>
      <c r="L7" t="s">
        <v>93</v>
      </c>
      <c r="M7" t="str">
        <f t="shared" si="0"/>
        <v>March</v>
      </c>
      <c r="N7">
        <f t="shared" si="1"/>
        <v>2021</v>
      </c>
    </row>
    <row r="8" spans="1:14" x14ac:dyDescent="0.25">
      <c r="A8">
        <v>6</v>
      </c>
      <c r="B8" s="52">
        <v>44285</v>
      </c>
      <c r="C8" s="83">
        <v>50</v>
      </c>
      <c r="D8" t="s">
        <v>87</v>
      </c>
      <c r="E8" t="s">
        <v>88</v>
      </c>
      <c r="F8" t="s">
        <v>94</v>
      </c>
      <c r="G8" t="s">
        <v>89</v>
      </c>
      <c r="H8" t="s">
        <v>90</v>
      </c>
      <c r="I8" t="s">
        <v>91</v>
      </c>
      <c r="J8" t="s">
        <v>92</v>
      </c>
      <c r="K8" s="13">
        <v>44285</v>
      </c>
      <c r="L8" t="s">
        <v>93</v>
      </c>
      <c r="M8" t="str">
        <f t="shared" si="0"/>
        <v>March</v>
      </c>
      <c r="N8">
        <f t="shared" si="1"/>
        <v>2021</v>
      </c>
    </row>
    <row r="9" spans="1:14" x14ac:dyDescent="0.25">
      <c r="A9">
        <v>7</v>
      </c>
      <c r="B9" s="52">
        <v>44285</v>
      </c>
      <c r="C9" s="83">
        <v>50</v>
      </c>
      <c r="D9" t="s">
        <v>87</v>
      </c>
      <c r="E9" t="s">
        <v>88</v>
      </c>
      <c r="F9" t="s">
        <v>94</v>
      </c>
      <c r="G9" t="s">
        <v>89</v>
      </c>
      <c r="H9" t="s">
        <v>90</v>
      </c>
      <c r="I9" t="s">
        <v>91</v>
      </c>
      <c r="J9" t="s">
        <v>92</v>
      </c>
      <c r="K9" s="13">
        <v>44285</v>
      </c>
      <c r="L9" t="s">
        <v>93</v>
      </c>
      <c r="M9" t="str">
        <f t="shared" si="0"/>
        <v>March</v>
      </c>
      <c r="N9">
        <f t="shared" si="1"/>
        <v>2021</v>
      </c>
    </row>
    <row r="10" spans="1:14" x14ac:dyDescent="0.25">
      <c r="A10">
        <v>8</v>
      </c>
      <c r="B10" s="52">
        <v>44285</v>
      </c>
      <c r="C10" s="83">
        <v>50</v>
      </c>
      <c r="D10" t="s">
        <v>87</v>
      </c>
      <c r="E10" t="s">
        <v>88</v>
      </c>
      <c r="F10" t="s">
        <v>94</v>
      </c>
      <c r="G10" t="s">
        <v>89</v>
      </c>
      <c r="H10" t="s">
        <v>90</v>
      </c>
      <c r="I10" t="s">
        <v>91</v>
      </c>
      <c r="J10" t="s">
        <v>92</v>
      </c>
      <c r="K10" s="13">
        <v>44285</v>
      </c>
      <c r="L10" t="s">
        <v>93</v>
      </c>
      <c r="M10" t="str">
        <f t="shared" si="0"/>
        <v>March</v>
      </c>
      <c r="N10">
        <f t="shared" si="1"/>
        <v>2021</v>
      </c>
    </row>
    <row r="11" spans="1:14" x14ac:dyDescent="0.25">
      <c r="A11">
        <v>9</v>
      </c>
      <c r="B11" s="52">
        <v>44285</v>
      </c>
      <c r="C11" s="83">
        <v>50</v>
      </c>
      <c r="D11" t="s">
        <v>87</v>
      </c>
      <c r="E11" t="s">
        <v>88</v>
      </c>
      <c r="F11" t="s">
        <v>94</v>
      </c>
      <c r="G11" t="s">
        <v>89</v>
      </c>
      <c r="H11" t="s">
        <v>90</v>
      </c>
      <c r="I11" t="s">
        <v>91</v>
      </c>
      <c r="J11" t="s">
        <v>92</v>
      </c>
      <c r="K11" s="13">
        <v>44285</v>
      </c>
      <c r="L11" t="s">
        <v>93</v>
      </c>
      <c r="M11" t="str">
        <f t="shared" si="0"/>
        <v>March</v>
      </c>
      <c r="N11">
        <f t="shared" si="1"/>
        <v>2021</v>
      </c>
    </row>
    <row r="12" spans="1:14" x14ac:dyDescent="0.25">
      <c r="A12">
        <v>10</v>
      </c>
      <c r="B12" s="52">
        <v>44285</v>
      </c>
      <c r="C12" s="83">
        <v>50</v>
      </c>
      <c r="D12" t="s">
        <v>87</v>
      </c>
      <c r="E12" t="s">
        <v>88</v>
      </c>
      <c r="F12" t="s">
        <v>94</v>
      </c>
      <c r="G12" t="s">
        <v>89</v>
      </c>
      <c r="H12" t="s">
        <v>90</v>
      </c>
      <c r="I12" t="s">
        <v>91</v>
      </c>
      <c r="J12" t="s">
        <v>92</v>
      </c>
      <c r="K12" s="13">
        <v>44285</v>
      </c>
      <c r="L12" t="s">
        <v>93</v>
      </c>
      <c r="M12" t="str">
        <f t="shared" si="0"/>
        <v>March</v>
      </c>
      <c r="N12">
        <f t="shared" si="1"/>
        <v>2021</v>
      </c>
    </row>
    <row r="13" spans="1:14" x14ac:dyDescent="0.25">
      <c r="A13">
        <v>11</v>
      </c>
      <c r="B13" s="52">
        <v>44285</v>
      </c>
      <c r="C13" s="83">
        <v>50</v>
      </c>
      <c r="D13" t="s">
        <v>87</v>
      </c>
      <c r="E13" t="s">
        <v>88</v>
      </c>
      <c r="F13" t="s">
        <v>94</v>
      </c>
      <c r="G13" t="s">
        <v>89</v>
      </c>
      <c r="H13" t="s">
        <v>90</v>
      </c>
      <c r="I13" t="s">
        <v>91</v>
      </c>
      <c r="J13" t="s">
        <v>92</v>
      </c>
      <c r="K13" s="13">
        <v>44285</v>
      </c>
      <c r="L13" t="s">
        <v>93</v>
      </c>
      <c r="M13" t="str">
        <f t="shared" si="0"/>
        <v>March</v>
      </c>
      <c r="N13">
        <f t="shared" si="1"/>
        <v>2021</v>
      </c>
    </row>
    <row r="14" spans="1:14" x14ac:dyDescent="0.25">
      <c r="A14">
        <v>12</v>
      </c>
      <c r="B14" s="52">
        <v>44285</v>
      </c>
      <c r="C14" s="83">
        <v>50</v>
      </c>
      <c r="D14" t="s">
        <v>87</v>
      </c>
      <c r="E14" t="s">
        <v>88</v>
      </c>
      <c r="F14" t="s">
        <v>94</v>
      </c>
      <c r="G14" t="s">
        <v>89</v>
      </c>
      <c r="H14" t="s">
        <v>90</v>
      </c>
      <c r="I14" t="s">
        <v>91</v>
      </c>
      <c r="J14" t="s">
        <v>92</v>
      </c>
      <c r="K14" s="13">
        <v>44285</v>
      </c>
      <c r="L14" t="s">
        <v>93</v>
      </c>
      <c r="M14" t="str">
        <f t="shared" si="0"/>
        <v>March</v>
      </c>
      <c r="N14">
        <f t="shared" si="1"/>
        <v>2021</v>
      </c>
    </row>
    <row r="15" spans="1:14" x14ac:dyDescent="0.25">
      <c r="A15">
        <v>13</v>
      </c>
      <c r="B15" s="52">
        <v>44285</v>
      </c>
      <c r="C15" s="83">
        <v>50</v>
      </c>
      <c r="D15" t="s">
        <v>87</v>
      </c>
      <c r="E15" t="s">
        <v>88</v>
      </c>
      <c r="F15" t="s">
        <v>94</v>
      </c>
      <c r="G15" t="s">
        <v>89</v>
      </c>
      <c r="H15" t="s">
        <v>90</v>
      </c>
      <c r="I15" t="s">
        <v>91</v>
      </c>
      <c r="J15" t="s">
        <v>92</v>
      </c>
      <c r="K15" s="13">
        <v>44285</v>
      </c>
      <c r="L15" t="s">
        <v>93</v>
      </c>
      <c r="M15" t="str">
        <f t="shared" si="0"/>
        <v>March</v>
      </c>
      <c r="N15">
        <f t="shared" si="1"/>
        <v>2021</v>
      </c>
    </row>
    <row r="16" spans="1:14" x14ac:dyDescent="0.25">
      <c r="A16">
        <v>14</v>
      </c>
      <c r="B16" s="52">
        <v>44285</v>
      </c>
      <c r="C16" s="83">
        <v>50</v>
      </c>
      <c r="D16" t="s">
        <v>87</v>
      </c>
      <c r="E16" t="s">
        <v>88</v>
      </c>
      <c r="F16" t="s">
        <v>94</v>
      </c>
      <c r="G16" t="s">
        <v>89</v>
      </c>
      <c r="H16" t="s">
        <v>90</v>
      </c>
      <c r="I16" t="s">
        <v>91</v>
      </c>
      <c r="J16" t="s">
        <v>92</v>
      </c>
      <c r="K16" s="13">
        <v>44285</v>
      </c>
      <c r="L16" t="s">
        <v>93</v>
      </c>
      <c r="M16" t="str">
        <f t="shared" si="0"/>
        <v>March</v>
      </c>
      <c r="N16">
        <f t="shared" si="1"/>
        <v>2021</v>
      </c>
    </row>
    <row r="17" spans="1:14" x14ac:dyDescent="0.25">
      <c r="A17">
        <v>15</v>
      </c>
      <c r="B17" s="52">
        <v>44285</v>
      </c>
      <c r="C17" s="83">
        <v>50</v>
      </c>
      <c r="D17" t="s">
        <v>87</v>
      </c>
      <c r="E17" t="s">
        <v>88</v>
      </c>
      <c r="F17" t="s">
        <v>94</v>
      </c>
      <c r="G17" t="s">
        <v>89</v>
      </c>
      <c r="H17" t="s">
        <v>90</v>
      </c>
      <c r="I17" t="s">
        <v>91</v>
      </c>
      <c r="J17" t="s">
        <v>92</v>
      </c>
      <c r="K17" s="13">
        <v>44285</v>
      </c>
      <c r="L17" t="s">
        <v>93</v>
      </c>
      <c r="M17" t="str">
        <f t="shared" si="0"/>
        <v>March</v>
      </c>
      <c r="N17">
        <f t="shared" si="1"/>
        <v>2021</v>
      </c>
    </row>
    <row r="18" spans="1:14" x14ac:dyDescent="0.25">
      <c r="A18">
        <v>16</v>
      </c>
      <c r="B18" s="52">
        <v>44285</v>
      </c>
      <c r="C18" s="83">
        <v>50</v>
      </c>
      <c r="D18" t="s">
        <v>87</v>
      </c>
      <c r="E18" t="s">
        <v>88</v>
      </c>
      <c r="F18" t="s">
        <v>94</v>
      </c>
      <c r="G18" t="s">
        <v>89</v>
      </c>
      <c r="H18" t="s">
        <v>90</v>
      </c>
      <c r="I18" t="s">
        <v>91</v>
      </c>
      <c r="J18" t="s">
        <v>92</v>
      </c>
      <c r="K18" s="13">
        <v>44285</v>
      </c>
      <c r="L18" t="s">
        <v>93</v>
      </c>
      <c r="M18" t="str">
        <f t="shared" si="0"/>
        <v>March</v>
      </c>
      <c r="N18">
        <f t="shared" si="1"/>
        <v>2021</v>
      </c>
    </row>
    <row r="19" spans="1:14" x14ac:dyDescent="0.25">
      <c r="A19">
        <v>17</v>
      </c>
      <c r="B19" s="52">
        <v>44285</v>
      </c>
      <c r="C19" s="83">
        <v>50</v>
      </c>
      <c r="D19" t="s">
        <v>87</v>
      </c>
      <c r="E19" t="s">
        <v>88</v>
      </c>
      <c r="F19" t="s">
        <v>94</v>
      </c>
      <c r="G19" t="s">
        <v>89</v>
      </c>
      <c r="H19" t="s">
        <v>90</v>
      </c>
      <c r="I19" t="s">
        <v>91</v>
      </c>
      <c r="J19" t="s">
        <v>92</v>
      </c>
      <c r="K19" s="13">
        <v>44285</v>
      </c>
      <c r="L19" t="s">
        <v>93</v>
      </c>
      <c r="M19" t="str">
        <f t="shared" si="0"/>
        <v>March</v>
      </c>
      <c r="N19">
        <f t="shared" si="1"/>
        <v>2021</v>
      </c>
    </row>
    <row r="20" spans="1:14" x14ac:dyDescent="0.25">
      <c r="A20">
        <v>18</v>
      </c>
      <c r="B20" s="52">
        <v>44285</v>
      </c>
      <c r="C20" s="83">
        <v>50</v>
      </c>
      <c r="D20" t="s">
        <v>87</v>
      </c>
      <c r="E20" t="s">
        <v>88</v>
      </c>
      <c r="F20" t="s">
        <v>94</v>
      </c>
      <c r="G20" t="s">
        <v>89</v>
      </c>
      <c r="H20" t="s">
        <v>90</v>
      </c>
      <c r="I20" t="s">
        <v>91</v>
      </c>
      <c r="J20" t="s">
        <v>92</v>
      </c>
      <c r="K20" s="13">
        <v>44285</v>
      </c>
      <c r="L20" t="s">
        <v>93</v>
      </c>
      <c r="M20" t="str">
        <f t="shared" si="0"/>
        <v>March</v>
      </c>
      <c r="N20">
        <f t="shared" si="1"/>
        <v>2021</v>
      </c>
    </row>
    <row r="21" spans="1:14" x14ac:dyDescent="0.25">
      <c r="A21">
        <v>19</v>
      </c>
      <c r="B21" s="52">
        <v>44285</v>
      </c>
      <c r="C21" s="83">
        <v>50</v>
      </c>
      <c r="D21" t="s">
        <v>87</v>
      </c>
      <c r="E21" t="s">
        <v>88</v>
      </c>
      <c r="F21" t="s">
        <v>94</v>
      </c>
      <c r="G21" t="s">
        <v>89</v>
      </c>
      <c r="H21" t="s">
        <v>90</v>
      </c>
      <c r="I21" t="s">
        <v>91</v>
      </c>
      <c r="J21" t="s">
        <v>92</v>
      </c>
      <c r="K21" s="13">
        <v>44285</v>
      </c>
      <c r="L21" t="s">
        <v>93</v>
      </c>
      <c r="M21" t="str">
        <f t="shared" si="0"/>
        <v>March</v>
      </c>
      <c r="N21">
        <f t="shared" si="1"/>
        <v>2021</v>
      </c>
    </row>
    <row r="22" spans="1:14" x14ac:dyDescent="0.25">
      <c r="A22">
        <v>20</v>
      </c>
      <c r="B22" s="52">
        <v>44285</v>
      </c>
      <c r="C22" s="83">
        <v>50</v>
      </c>
      <c r="D22" t="s">
        <v>87</v>
      </c>
      <c r="E22" t="s">
        <v>88</v>
      </c>
      <c r="F22" t="s">
        <v>94</v>
      </c>
      <c r="G22" t="s">
        <v>89</v>
      </c>
      <c r="H22" t="s">
        <v>90</v>
      </c>
      <c r="I22" t="s">
        <v>91</v>
      </c>
      <c r="J22" t="s">
        <v>92</v>
      </c>
      <c r="K22" s="13">
        <v>44285</v>
      </c>
      <c r="L22" t="s">
        <v>93</v>
      </c>
      <c r="M22" t="str">
        <f t="shared" si="0"/>
        <v>March</v>
      </c>
      <c r="N22">
        <f t="shared" si="1"/>
        <v>2021</v>
      </c>
    </row>
    <row r="23" spans="1:14" x14ac:dyDescent="0.25">
      <c r="A23">
        <v>21</v>
      </c>
      <c r="B23" s="52">
        <v>44285</v>
      </c>
      <c r="C23" s="83">
        <v>50</v>
      </c>
      <c r="D23" t="s">
        <v>87</v>
      </c>
      <c r="E23" t="s">
        <v>88</v>
      </c>
      <c r="F23" t="s">
        <v>94</v>
      </c>
      <c r="G23" t="s">
        <v>89</v>
      </c>
      <c r="H23" t="s">
        <v>90</v>
      </c>
      <c r="I23" t="s">
        <v>91</v>
      </c>
      <c r="J23" t="s">
        <v>92</v>
      </c>
      <c r="K23" s="13">
        <v>44285</v>
      </c>
      <c r="L23" t="s">
        <v>93</v>
      </c>
      <c r="M23" t="str">
        <f t="shared" si="0"/>
        <v>March</v>
      </c>
      <c r="N23">
        <f t="shared" si="1"/>
        <v>2021</v>
      </c>
    </row>
    <row r="24" spans="1:14" x14ac:dyDescent="0.25">
      <c r="A24">
        <v>22</v>
      </c>
      <c r="B24" s="52">
        <v>44285</v>
      </c>
      <c r="C24" s="83">
        <v>50</v>
      </c>
      <c r="D24" t="s">
        <v>87</v>
      </c>
      <c r="E24" t="s">
        <v>88</v>
      </c>
      <c r="F24" t="s">
        <v>94</v>
      </c>
      <c r="G24" t="s">
        <v>89</v>
      </c>
      <c r="H24" t="s">
        <v>90</v>
      </c>
      <c r="I24" t="s">
        <v>91</v>
      </c>
      <c r="J24" t="s">
        <v>92</v>
      </c>
      <c r="K24" s="13">
        <v>44285</v>
      </c>
      <c r="L24" t="s">
        <v>93</v>
      </c>
      <c r="M24" t="str">
        <f t="shared" si="0"/>
        <v>March</v>
      </c>
      <c r="N24">
        <f t="shared" si="1"/>
        <v>2021</v>
      </c>
    </row>
    <row r="25" spans="1:14" x14ac:dyDescent="0.25">
      <c r="A25">
        <v>23</v>
      </c>
      <c r="B25" s="52">
        <v>44285</v>
      </c>
      <c r="C25" s="83">
        <v>50</v>
      </c>
      <c r="D25" t="s">
        <v>87</v>
      </c>
      <c r="E25" t="s">
        <v>88</v>
      </c>
      <c r="F25" t="s">
        <v>94</v>
      </c>
      <c r="G25" t="s">
        <v>89</v>
      </c>
      <c r="H25" t="s">
        <v>90</v>
      </c>
      <c r="I25" t="s">
        <v>91</v>
      </c>
      <c r="J25" t="s">
        <v>92</v>
      </c>
      <c r="K25" s="13">
        <v>44285</v>
      </c>
      <c r="L25" t="s">
        <v>93</v>
      </c>
      <c r="M25" t="str">
        <f t="shared" si="0"/>
        <v>March</v>
      </c>
      <c r="N25">
        <f t="shared" si="1"/>
        <v>2021</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D22-3E8D-49B3-9B13-9E99D1ABAB91}">
  <sheetPr codeName="Sheet10">
    <tabColor rgb="FFC00000"/>
  </sheetPr>
  <dimension ref="B1:M21"/>
  <sheetViews>
    <sheetView showGridLines="0" workbookViewId="0">
      <selection activeCell="C4" sqref="C4"/>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59</v>
      </c>
    </row>
    <row r="3" spans="2:13" s="3" customFormat="1" x14ac:dyDescent="0.25">
      <c r="B3" s="44" t="s">
        <v>44</v>
      </c>
      <c r="C3" s="49">
        <v>2020</v>
      </c>
    </row>
    <row r="4" spans="2:13" s="7" customFormat="1" x14ac:dyDescent="0.25">
      <c r="B4" s="70" t="s">
        <v>60</v>
      </c>
      <c r="C4" s="50" t="s">
        <v>45</v>
      </c>
    </row>
    <row r="5" spans="2:13" ht="15.75" thickBot="1" x14ac:dyDescent="0.3"/>
    <row r="6" spans="2:13" ht="24" thickBot="1" x14ac:dyDescent="0.4">
      <c r="B6" s="33" t="s">
        <v>30</v>
      </c>
      <c r="C6" s="30">
        <f>IF($C$3="All",
IF($C$4="All",SUM(INDEX(ExpenseList,,3)),
SUMIFS(INDEX(ExpenseList,,3),INDEX(ExpenseList,,6),$C$4)),
IF($C$4="All",SUMIFS(INDEX(ExpenseList,,3),INDEX(ExpenseList,,14),$C$3),
SUMIFS(INDEX(ExpenseList,,3),INDEX(ExpenseList,,6),$C$4,INDEX(ExpenseList,,14),$C$3)))</f>
        <v>0</v>
      </c>
    </row>
    <row r="7" spans="2:13" ht="15.75" thickBot="1" x14ac:dyDescent="0.3">
      <c r="H7" s="36"/>
    </row>
    <row r="8" spans="2:13" ht="15.75" thickBot="1" x14ac:dyDescent="0.3">
      <c r="B8" s="76" t="s">
        <v>6</v>
      </c>
      <c r="C8" s="77" t="s">
        <v>49</v>
      </c>
      <c r="D8" s="77" t="s">
        <v>48</v>
      </c>
      <c r="E8" s="77" t="s">
        <v>51</v>
      </c>
      <c r="F8" s="78" t="s">
        <v>52</v>
      </c>
      <c r="H8" s="36" t="s">
        <v>3</v>
      </c>
      <c r="I8" s="56" t="s">
        <v>2</v>
      </c>
      <c r="J8" s="53" t="s">
        <v>5</v>
      </c>
      <c r="K8" s="36" t="s">
        <v>6</v>
      </c>
      <c r="L8" s="36" t="s">
        <v>1</v>
      </c>
      <c r="M8" s="36" t="s">
        <v>16</v>
      </c>
    </row>
    <row r="9" spans="2:13" x14ac:dyDescent="0.25">
      <c r="B9" s="31" t="s">
        <v>31</v>
      </c>
      <c r="C9" s="72">
        <f t="shared" ref="C9:C20" si="0">IF(B9="",0,IF($C$3="All",
IF($C$4="All",SUMIFS(INDEX(ExpenseList,,3),INDEX(ExpenseList,,13),B9),
SUMIFS(INDEX(ExpenseList,,3),INDEX(ExpenseList,,13),B9,INDEX(ExpenseList,,6),$C$4)),
IF($C$4="All",SUMIFS(INDEX(ExpenseList,,3),INDEX(ExpenseList,,13),B9,INDEX(ExpenseList,,14),$C$3),
SUMIFS(INDEX(ExpenseList,,3),INDEX(ExpenseList,,13),B9,INDEX(ExpenseList,,6),$C$4,INDEX(ExpenseList,,14),$C$3))))</f>
        <v>0</v>
      </c>
      <c r="D9" s="72" t="e">
        <f>INDEX('Main Tab'!$F$11:$G$30,MATCH('Category Dashboard'!$C$4,'Main Tab'!$F$11:$F$30,0),2)</f>
        <v>#N/A</v>
      </c>
      <c r="E9" s="73" t="e">
        <f>D9-C9</f>
        <v>#N/A</v>
      </c>
      <c r="F9" s="74" t="e">
        <f>IF(C9/$C$6=0,"",C9/$C$6)</f>
        <v>#DIV/0!</v>
      </c>
      <c r="H9" s="54"/>
      <c r="I9" s="34"/>
    </row>
    <row r="10" spans="2:13" x14ac:dyDescent="0.25">
      <c r="B10" s="14" t="s">
        <v>32</v>
      </c>
      <c r="C10" s="35">
        <f t="shared" si="0"/>
        <v>0</v>
      </c>
      <c r="D10" s="35" t="e">
        <f>INDEX('Main Tab'!$F$11:$G$30,MATCH('Category Dashboard'!$C$4,'Main Tab'!$F$11:$F$30,0),2)</f>
        <v>#N/A</v>
      </c>
      <c r="E10" s="42" t="e">
        <f t="shared" ref="E10:E20" si="1">D10-C10</f>
        <v>#N/A</v>
      </c>
      <c r="F10" s="38" t="e">
        <f t="shared" ref="F10:F20" si="2">IF(C10/$C$6=0,"",C10/$C$6)</f>
        <v>#DIV/0!</v>
      </c>
    </row>
    <row r="11" spans="2:13" x14ac:dyDescent="0.25">
      <c r="B11" s="14" t="s">
        <v>33</v>
      </c>
      <c r="C11" s="35">
        <f t="shared" si="0"/>
        <v>0</v>
      </c>
      <c r="D11" s="35" t="e">
        <f>INDEX('Main Tab'!$F$11:$G$30,MATCH('Category Dashboard'!$C$4,'Main Tab'!$F$11:$F$30,0),2)</f>
        <v>#N/A</v>
      </c>
      <c r="E11" s="42" t="e">
        <f t="shared" si="1"/>
        <v>#N/A</v>
      </c>
      <c r="F11" s="38" t="e">
        <f t="shared" si="2"/>
        <v>#DIV/0!</v>
      </c>
    </row>
    <row r="12" spans="2:13" x14ac:dyDescent="0.25">
      <c r="B12" s="14" t="s">
        <v>34</v>
      </c>
      <c r="C12" s="35">
        <f t="shared" si="0"/>
        <v>0</v>
      </c>
      <c r="D12" s="35" t="e">
        <f>INDEX('Main Tab'!$F$11:$G$30,MATCH('Category Dashboard'!$C$4,'Main Tab'!$F$11:$F$30,0),2)</f>
        <v>#N/A</v>
      </c>
      <c r="E12" s="42" t="e">
        <f t="shared" si="1"/>
        <v>#N/A</v>
      </c>
      <c r="F12" s="38" t="e">
        <f t="shared" si="2"/>
        <v>#DIV/0!</v>
      </c>
    </row>
    <row r="13" spans="2:13" x14ac:dyDescent="0.25">
      <c r="B13" s="14" t="s">
        <v>35</v>
      </c>
      <c r="C13" s="35">
        <f t="shared" si="0"/>
        <v>0</v>
      </c>
      <c r="D13" s="35" t="e">
        <f>INDEX('Main Tab'!$F$11:$G$30,MATCH('Category Dashboard'!$C$4,'Main Tab'!$F$11:$F$30,0),2)</f>
        <v>#N/A</v>
      </c>
      <c r="E13" s="42" t="e">
        <f t="shared" si="1"/>
        <v>#N/A</v>
      </c>
      <c r="F13" s="38" t="e">
        <f t="shared" si="2"/>
        <v>#DIV/0!</v>
      </c>
    </row>
    <row r="14" spans="2:13" x14ac:dyDescent="0.25">
      <c r="B14" s="14" t="s">
        <v>36</v>
      </c>
      <c r="C14" s="35">
        <f t="shared" si="0"/>
        <v>0</v>
      </c>
      <c r="D14" s="35" t="e">
        <f>INDEX('Main Tab'!$F$11:$G$30,MATCH('Category Dashboard'!$C$4,'Main Tab'!$F$11:$F$30,0),2)</f>
        <v>#N/A</v>
      </c>
      <c r="E14" s="42" t="e">
        <f t="shared" si="1"/>
        <v>#N/A</v>
      </c>
      <c r="F14" s="38" t="e">
        <f t="shared" si="2"/>
        <v>#DIV/0!</v>
      </c>
    </row>
    <row r="15" spans="2:13" x14ac:dyDescent="0.25">
      <c r="B15" s="14" t="s">
        <v>37</v>
      </c>
      <c r="C15" s="35">
        <f t="shared" si="0"/>
        <v>0</v>
      </c>
      <c r="D15" s="35" t="e">
        <f>INDEX('Main Tab'!$F$11:$G$30,MATCH('Category Dashboard'!$C$4,'Main Tab'!$F$11:$F$30,0),2)</f>
        <v>#N/A</v>
      </c>
      <c r="E15" s="42" t="e">
        <f t="shared" si="1"/>
        <v>#N/A</v>
      </c>
      <c r="F15" s="38" t="e">
        <f t="shared" si="2"/>
        <v>#DIV/0!</v>
      </c>
    </row>
    <row r="16" spans="2:13" x14ac:dyDescent="0.25">
      <c r="B16" s="14" t="s">
        <v>38</v>
      </c>
      <c r="C16" s="35">
        <f t="shared" si="0"/>
        <v>0</v>
      </c>
      <c r="D16" s="35" t="e">
        <f>INDEX('Main Tab'!$F$11:$G$30,MATCH('Category Dashboard'!$C$4,'Main Tab'!$F$11:$F$30,0),2)</f>
        <v>#N/A</v>
      </c>
      <c r="E16" s="42" t="e">
        <f t="shared" si="1"/>
        <v>#N/A</v>
      </c>
      <c r="F16" s="38" t="e">
        <f t="shared" si="2"/>
        <v>#DIV/0!</v>
      </c>
    </row>
    <row r="17" spans="2:6" x14ac:dyDescent="0.25">
      <c r="B17" s="14" t="s">
        <v>39</v>
      </c>
      <c r="C17" s="35">
        <f t="shared" si="0"/>
        <v>0</v>
      </c>
      <c r="D17" s="35" t="e">
        <f>INDEX('Main Tab'!$F$11:$G$30,MATCH('Category Dashboard'!$C$4,'Main Tab'!$F$11:$F$30,0),2)</f>
        <v>#N/A</v>
      </c>
      <c r="E17" s="42" t="e">
        <f t="shared" si="1"/>
        <v>#N/A</v>
      </c>
      <c r="F17" s="38" t="e">
        <f t="shared" si="2"/>
        <v>#DIV/0!</v>
      </c>
    </row>
    <row r="18" spans="2:6" x14ac:dyDescent="0.25">
      <c r="B18" s="14" t="s">
        <v>40</v>
      </c>
      <c r="C18" s="35">
        <f t="shared" si="0"/>
        <v>0</v>
      </c>
      <c r="D18" s="35" t="e">
        <f>INDEX('Main Tab'!$F$11:$G$30,MATCH('Category Dashboard'!$C$4,'Main Tab'!$F$11:$F$30,0),2)</f>
        <v>#N/A</v>
      </c>
      <c r="E18" s="42" t="e">
        <f t="shared" si="1"/>
        <v>#N/A</v>
      </c>
      <c r="F18" s="38" t="e">
        <f t="shared" si="2"/>
        <v>#DIV/0!</v>
      </c>
    </row>
    <row r="19" spans="2:6" x14ac:dyDescent="0.25">
      <c r="B19" s="14" t="s">
        <v>41</v>
      </c>
      <c r="C19" s="35">
        <f t="shared" si="0"/>
        <v>0</v>
      </c>
      <c r="D19" s="35" t="e">
        <f>INDEX('Main Tab'!$F$11:$G$30,MATCH('Category Dashboard'!$C$4,'Main Tab'!$F$11:$F$30,0),2)</f>
        <v>#N/A</v>
      </c>
      <c r="E19" s="42" t="e">
        <f t="shared" si="1"/>
        <v>#N/A</v>
      </c>
      <c r="F19" s="38" t="e">
        <f t="shared" si="2"/>
        <v>#DIV/0!</v>
      </c>
    </row>
    <row r="20" spans="2:6" ht="15.75" thickBot="1" x14ac:dyDescent="0.3">
      <c r="B20" s="15" t="s">
        <v>42</v>
      </c>
      <c r="C20" s="39">
        <f t="shared" si="0"/>
        <v>0</v>
      </c>
      <c r="D20" s="39" t="e">
        <f>INDEX('Main Tab'!$F$11:$G$30,MATCH('Category Dashboard'!$C$4,'Main Tab'!$F$11:$F$30,0),2)</f>
        <v>#N/A</v>
      </c>
      <c r="E20" s="43" t="e">
        <f t="shared" si="1"/>
        <v>#N/A</v>
      </c>
      <c r="F20" s="40" t="e">
        <f t="shared" si="2"/>
        <v>#DIV/0!</v>
      </c>
    </row>
    <row r="21" spans="2:6" ht="15.75" thickBot="1" x14ac:dyDescent="0.3">
      <c r="B21" s="80" t="s">
        <v>62</v>
      </c>
      <c r="C21" s="81">
        <f>SUM(C9:C20)/COUNT(C9:C20)</f>
        <v>0</v>
      </c>
      <c r="D21" s="24" t="s">
        <v>50</v>
      </c>
      <c r="E21" s="37" t="e">
        <f>SUM(E9:E20)</f>
        <v>#N/A</v>
      </c>
      <c r="F21" s="79"/>
    </row>
  </sheetData>
  <sheetProtection autoFilter="0"/>
  <protectedRanges>
    <protectedRange sqref="C3:C4" name="Range1"/>
  </protectedRanges>
  <conditionalFormatting sqref="E9:E20">
    <cfRule type="dataBar" priority="5">
      <dataBar>
        <cfvo type="min"/>
        <cfvo type="max"/>
        <color rgb="FF63C384"/>
      </dataBar>
      <extLst>
        <ext xmlns:x14="http://schemas.microsoft.com/office/spreadsheetml/2009/9/main" uri="{B025F937-C7B1-47D3-B67F-A62EFF666E3E}">
          <x14:id>{776B2BC4-66D8-4406-AEE5-A0A780F9BBF1}</x14:id>
        </ext>
      </extLst>
    </cfRule>
  </conditionalFormatting>
  <conditionalFormatting sqref="F9:F21">
    <cfRule type="colorScale" priority="6">
      <colorScale>
        <cfvo type="min"/>
        <cfvo type="max"/>
        <color rgb="FFFCFCFF"/>
        <color rgb="FFF8696B"/>
      </colorScale>
    </cfRule>
  </conditionalFormatting>
  <dataValidations count="2">
    <dataValidation type="list" allowBlank="1" showInputMessage="1" showErrorMessage="1" sqref="C4" xr:uid="{A529442D-9B0A-4A46-8F9E-45E41966C2EF}">
      <formula1>Cat_List</formula1>
    </dataValidation>
    <dataValidation type="list" allowBlank="1" showInputMessage="1" showErrorMessage="1" sqref="C3" xr:uid="{B48DB9A7-FDDB-4069-8CD7-5055A27B64CA}">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76B2BC4-66D8-4406-AEE5-A0A780F9BBF1}">
            <x14:dataBar minLength="0" maxLength="100" gradient="0">
              <x14:cfvo type="autoMin"/>
              <x14:cfvo type="autoMax"/>
              <x14:negativeFillColor rgb="FFFF0000"/>
              <x14:axisColor rgb="FF000000"/>
            </x14:dataBar>
          </x14:cfRule>
          <xm:sqref>E9:E20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0F31D-02E4-400D-9405-E29DE91526E8}">
  <sheetPr codeName="Sheet1">
    <tabColor rgb="FF7030A0"/>
  </sheetPr>
  <dimension ref="B1:R42"/>
  <sheetViews>
    <sheetView showGridLines="0" workbookViewId="0">
      <selection activeCell="I29" sqref="I29"/>
    </sheetView>
  </sheetViews>
  <sheetFormatPr defaultRowHeight="15" x14ac:dyDescent="0.25"/>
  <cols>
    <col min="2" max="2" width="25.85546875" customWidth="1"/>
    <col min="3" max="3" width="24" customWidth="1"/>
    <col min="4" max="4" width="51.85546875" customWidth="1"/>
    <col min="5" max="5" width="10.85546875" customWidth="1"/>
    <col min="6" max="6" width="7.28515625" customWidth="1"/>
    <col min="7" max="7" width="6.140625"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55</v>
      </c>
      <c r="C2" s="47"/>
    </row>
    <row r="3" spans="2:13" s="3" customFormat="1" x14ac:dyDescent="0.25">
      <c r="B3" s="48" t="s">
        <v>44</v>
      </c>
      <c r="C3" s="49" t="s">
        <v>53</v>
      </c>
    </row>
    <row r="4" spans="2:13" s="7" customFormat="1" x14ac:dyDescent="0.25"/>
    <row r="5" spans="2:13" ht="15.75" thickBot="1" x14ac:dyDescent="0.3">
      <c r="D5" s="46"/>
    </row>
    <row r="6" spans="2:13" ht="24" thickBot="1" x14ac:dyDescent="0.4">
      <c r="B6" s="33" t="s">
        <v>30</v>
      </c>
      <c r="C6" s="30">
        <f>IF($C$3="All",SUM(INDEX(ExpenseList,,3)),SUMIF(INDEX(ExpenseList,,14),$C$3,INDEX(ExpenseList,,3)))</f>
        <v>0</v>
      </c>
    </row>
    <row r="7" spans="2:13" ht="15.75" thickBot="1" x14ac:dyDescent="0.3"/>
    <row r="8" spans="2:13" ht="15.75" thickBot="1" x14ac:dyDescent="0.3">
      <c r="B8" s="17" t="s">
        <v>43</v>
      </c>
      <c r="C8" s="18" t="s">
        <v>49</v>
      </c>
      <c r="H8" s="60" t="s">
        <v>3</v>
      </c>
      <c r="I8" s="61" t="s">
        <v>2</v>
      </c>
      <c r="J8" s="62" t="s">
        <v>5</v>
      </c>
      <c r="K8" s="63" t="s">
        <v>6</v>
      </c>
      <c r="L8" s="63" t="s">
        <v>1</v>
      </c>
      <c r="M8" s="64" t="s">
        <v>16</v>
      </c>
    </row>
    <row r="9" spans="2:13" x14ac:dyDescent="0.25">
      <c r="B9" s="16" t="s">
        <v>31</v>
      </c>
      <c r="C9" s="19">
        <f t="shared" ref="C9:C20" si="0">IF($C$3="All",SUMIFS(INDEX(ExpenseList,,3),INDEX(ExpenseList,,13),B9),SUMIFS(INDEX(ExpenseList,,3),INDEX(ExpenseList,,13),B9,INDEX(ExpenseList,,14),$C$3))</f>
        <v>0</v>
      </c>
      <c r="H9" s="54"/>
      <c r="I9" s="55"/>
    </row>
    <row r="10" spans="2:13" x14ac:dyDescent="0.25">
      <c r="B10" s="14" t="s">
        <v>32</v>
      </c>
      <c r="C10" s="20">
        <f t="shared" si="0"/>
        <v>0</v>
      </c>
    </row>
    <row r="11" spans="2:13" x14ac:dyDescent="0.25">
      <c r="B11" s="14" t="s">
        <v>33</v>
      </c>
      <c r="C11" s="20">
        <f t="shared" si="0"/>
        <v>0</v>
      </c>
    </row>
    <row r="12" spans="2:13" x14ac:dyDescent="0.25">
      <c r="B12" s="14" t="s">
        <v>34</v>
      </c>
      <c r="C12" s="20">
        <f t="shared" si="0"/>
        <v>0</v>
      </c>
    </row>
    <row r="13" spans="2:13" x14ac:dyDescent="0.25">
      <c r="B13" s="14" t="s">
        <v>35</v>
      </c>
      <c r="C13" s="20">
        <f t="shared" si="0"/>
        <v>0</v>
      </c>
    </row>
    <row r="14" spans="2:13" x14ac:dyDescent="0.25">
      <c r="B14" s="14" t="s">
        <v>36</v>
      </c>
      <c r="C14" s="20">
        <f t="shared" si="0"/>
        <v>0</v>
      </c>
    </row>
    <row r="15" spans="2:13" x14ac:dyDescent="0.25">
      <c r="B15" s="14" t="s">
        <v>37</v>
      </c>
      <c r="C15" s="20">
        <f t="shared" si="0"/>
        <v>0</v>
      </c>
    </row>
    <row r="16" spans="2:13" x14ac:dyDescent="0.25">
      <c r="B16" s="14" t="s">
        <v>38</v>
      </c>
      <c r="C16" s="20">
        <f t="shared" si="0"/>
        <v>0</v>
      </c>
    </row>
    <row r="17" spans="2:18" x14ac:dyDescent="0.25">
      <c r="B17" s="14" t="s">
        <v>39</v>
      </c>
      <c r="C17" s="20">
        <f t="shared" si="0"/>
        <v>0</v>
      </c>
    </row>
    <row r="18" spans="2:18" x14ac:dyDescent="0.25">
      <c r="B18" s="14" t="s">
        <v>40</v>
      </c>
      <c r="C18" s="20">
        <f t="shared" si="0"/>
        <v>0</v>
      </c>
    </row>
    <row r="19" spans="2:18" x14ac:dyDescent="0.25">
      <c r="B19" s="14" t="s">
        <v>41</v>
      </c>
      <c r="C19" s="20">
        <f t="shared" si="0"/>
        <v>0</v>
      </c>
    </row>
    <row r="20" spans="2:18" ht="15.75" thickBot="1" x14ac:dyDescent="0.3">
      <c r="B20" s="15" t="s">
        <v>42</v>
      </c>
      <c r="C20" s="21">
        <f t="shared" si="0"/>
        <v>0</v>
      </c>
      <c r="R20" s="45"/>
    </row>
    <row r="21" spans="2:18" ht="15.75" thickBot="1" x14ac:dyDescent="0.3"/>
    <row r="22" spans="2:18" ht="15.75" thickBot="1" x14ac:dyDescent="0.3">
      <c r="B22" s="17" t="s">
        <v>6</v>
      </c>
      <c r="C22" s="18" t="s">
        <v>49</v>
      </c>
    </row>
    <row r="23" spans="2:18" x14ac:dyDescent="0.25">
      <c r="B23" s="31" t="str">
        <f>IF(INDEX(BudgetCat,1)=0,"",INDEX(BudgetCat,1))</f>
        <v/>
      </c>
      <c r="C23" s="32">
        <f t="shared" ref="C23:C42" si="1">IF(B23="", 0, IF($C$3="All",SUMIFS(INDEX(ExpenseList,,3),INDEX(ExpenseList,,6),B23),SUMIFS(INDEX(ExpenseList,,3),INDEX(ExpenseList,,6),B23,INDEX(ExpenseList,,14),$C$3)))</f>
        <v>0</v>
      </c>
    </row>
    <row r="24" spans="2:18" x14ac:dyDescent="0.25">
      <c r="B24" s="14" t="str">
        <f>IF(INDEX(BudgetCat,2)=0,"",INDEX(BudgetCat,2))</f>
        <v/>
      </c>
      <c r="C24" s="20">
        <f t="shared" si="1"/>
        <v>0</v>
      </c>
    </row>
    <row r="25" spans="2:18" x14ac:dyDescent="0.25">
      <c r="B25" s="14" t="str">
        <f>IF(INDEX(BudgetCat,3)=0,"",INDEX(BudgetCat,3))</f>
        <v/>
      </c>
      <c r="C25" s="20">
        <f t="shared" si="1"/>
        <v>0</v>
      </c>
    </row>
    <row r="26" spans="2:18" x14ac:dyDescent="0.25">
      <c r="B26" s="14" t="str">
        <f>IF(INDEX(BudgetCat,4)=0,"",INDEX(BudgetCat,4))</f>
        <v/>
      </c>
      <c r="C26" s="20">
        <f t="shared" si="1"/>
        <v>0</v>
      </c>
    </row>
    <row r="27" spans="2:18" x14ac:dyDescent="0.25">
      <c r="B27" s="14" t="str">
        <f>IF(INDEX(BudgetCat,5)=0,"",INDEX(BudgetCat,5))</f>
        <v/>
      </c>
      <c r="C27" s="20">
        <f t="shared" si="1"/>
        <v>0</v>
      </c>
    </row>
    <row r="28" spans="2:18" x14ac:dyDescent="0.25">
      <c r="B28" s="14" t="str">
        <f>IF(INDEX(BudgetCat,6)=0,"",INDEX(BudgetCat,6))</f>
        <v/>
      </c>
      <c r="C28" s="20">
        <f t="shared" si="1"/>
        <v>0</v>
      </c>
    </row>
    <row r="29" spans="2:18" x14ac:dyDescent="0.25">
      <c r="B29" s="14" t="str">
        <f>IF(INDEX(BudgetCat,7)=0,"",INDEX(BudgetCat,7))</f>
        <v/>
      </c>
      <c r="C29" s="20">
        <f t="shared" si="1"/>
        <v>0</v>
      </c>
    </row>
    <row r="30" spans="2:18" x14ac:dyDescent="0.25">
      <c r="B30" s="14" t="str">
        <f>IF(INDEX(BudgetCat,8)=0,"",INDEX(BudgetCat,8))</f>
        <v/>
      </c>
      <c r="C30" s="20">
        <f t="shared" si="1"/>
        <v>0</v>
      </c>
    </row>
    <row r="31" spans="2:18" x14ac:dyDescent="0.25">
      <c r="B31" s="14" t="str">
        <f>IF(INDEX(BudgetCat,9)=0,"",INDEX(BudgetCat,9))</f>
        <v/>
      </c>
      <c r="C31" s="20">
        <f t="shared" si="1"/>
        <v>0</v>
      </c>
    </row>
    <row r="32" spans="2:18" x14ac:dyDescent="0.25">
      <c r="B32" s="14" t="str">
        <f>IF(INDEX(BudgetCat,10)=0,"",INDEX(BudgetCat,10))</f>
        <v/>
      </c>
      <c r="C32" s="20">
        <f t="shared" si="1"/>
        <v>0</v>
      </c>
    </row>
    <row r="33" spans="2:3" x14ac:dyDescent="0.25">
      <c r="B33" s="14" t="str">
        <f>IF(INDEX(BudgetCat,11)=0,"",INDEX(BudgetCat,11))</f>
        <v/>
      </c>
      <c r="C33" s="20">
        <f t="shared" si="1"/>
        <v>0</v>
      </c>
    </row>
    <row r="34" spans="2:3" x14ac:dyDescent="0.25">
      <c r="B34" s="14" t="str">
        <f>IF(INDEX(BudgetCat,12)=0,"",INDEX(BudgetCat,12))</f>
        <v/>
      </c>
      <c r="C34" s="20">
        <f t="shared" si="1"/>
        <v>0</v>
      </c>
    </row>
    <row r="35" spans="2:3" x14ac:dyDescent="0.25">
      <c r="B35" s="14" t="str">
        <f>IF(INDEX(BudgetCat,13)=0,"",INDEX(BudgetCat,13))</f>
        <v/>
      </c>
      <c r="C35" s="20">
        <f t="shared" si="1"/>
        <v>0</v>
      </c>
    </row>
    <row r="36" spans="2:3" x14ac:dyDescent="0.25">
      <c r="B36" s="14" t="str">
        <f>IF(INDEX(BudgetCat,14)=0,"",INDEX(BudgetCat,14))</f>
        <v/>
      </c>
      <c r="C36" s="20">
        <f t="shared" si="1"/>
        <v>0</v>
      </c>
    </row>
    <row r="37" spans="2:3" x14ac:dyDescent="0.25">
      <c r="B37" s="14" t="str">
        <f>IF(INDEX(BudgetCat,15)=0,"",INDEX(BudgetCat,15))</f>
        <v/>
      </c>
      <c r="C37" s="20">
        <f t="shared" si="1"/>
        <v>0</v>
      </c>
    </row>
    <row r="38" spans="2:3" x14ac:dyDescent="0.25">
      <c r="B38" s="14" t="str">
        <f>IF(INDEX(BudgetCat,16)=0,"",INDEX(BudgetCat,16))</f>
        <v/>
      </c>
      <c r="C38" s="20">
        <f t="shared" si="1"/>
        <v>0</v>
      </c>
    </row>
    <row r="39" spans="2:3" x14ac:dyDescent="0.25">
      <c r="B39" s="14" t="str">
        <f>IF(INDEX(BudgetCat,17)=0,"",INDEX(BudgetCat,17))</f>
        <v/>
      </c>
      <c r="C39" s="20">
        <f t="shared" si="1"/>
        <v>0</v>
      </c>
    </row>
    <row r="40" spans="2:3" x14ac:dyDescent="0.25">
      <c r="B40" s="14" t="str">
        <f>IF(INDEX(BudgetCat,18)=0,"",INDEX(BudgetCat,18))</f>
        <v/>
      </c>
      <c r="C40" s="20">
        <f t="shared" si="1"/>
        <v>0</v>
      </c>
    </row>
    <row r="41" spans="2:3" x14ac:dyDescent="0.25">
      <c r="B41" s="14" t="str">
        <f>IF(INDEX(BudgetCat,19)=0,"",INDEX(BudgetCat,19))</f>
        <v/>
      </c>
      <c r="C41" s="20">
        <f t="shared" si="1"/>
        <v>0</v>
      </c>
    </row>
    <row r="42" spans="2:3" ht="15.75" thickBot="1" x14ac:dyDescent="0.3">
      <c r="B42" s="15" t="str">
        <f>IF(INDEX(BudgetCat,20)=0,"",INDEX(BudgetCat,20))</f>
        <v/>
      </c>
      <c r="C42" s="21">
        <f t="shared" si="1"/>
        <v>0</v>
      </c>
    </row>
  </sheetData>
  <sheetProtection autoFilter="0"/>
  <protectedRanges>
    <protectedRange sqref="C3" name="Range1"/>
  </protectedRanges>
  <phoneticPr fontId="8" type="noConversion"/>
  <dataValidations count="1">
    <dataValidation type="list" allowBlank="1" showInputMessage="1" showErrorMessage="1" sqref="C3" xr:uid="{F0742E68-B23F-4D19-B8F6-130A3216A5C3}">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ThisWorkbook.GetTransactions">
                <anchor moveWithCells="1">
                  <from>
                    <xdr:col>7</xdr:col>
                    <xdr:colOff>66675</xdr:colOff>
                    <xdr:row>5</xdr:row>
                    <xdr:rowOff>9525</xdr:rowOff>
                  </from>
                  <to>
                    <xdr:col>8</xdr:col>
                    <xdr:colOff>628650</xdr:colOff>
                    <xdr:row>6</xdr:row>
                    <xdr:rowOff>19050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3C798-5CBD-4F32-B9D8-27412402DB44}">
  <sheetPr codeName="Sheet11">
    <tabColor rgb="FF0070C0"/>
  </sheetPr>
  <dimension ref="B1:N29"/>
  <sheetViews>
    <sheetView showGridLines="0" workbookViewId="0">
      <selection activeCell="H23" sqref="H23"/>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9" width="4.28515625" customWidth="1"/>
    <col min="10" max="10" width="25.85546875" customWidth="1"/>
    <col min="11" max="11" width="23.140625" customWidth="1"/>
    <col min="12" max="12" width="18.5703125" customWidth="1"/>
    <col min="13" max="13" width="19.140625" customWidth="1"/>
    <col min="14" max="14" width="19" bestFit="1" customWidth="1"/>
  </cols>
  <sheetData>
    <row r="1" spans="2:14" s="3" customFormat="1" x14ac:dyDescent="0.25"/>
    <row r="2" spans="2:14" s="3" customFormat="1" ht="36" x14ac:dyDescent="0.55000000000000004">
      <c r="B2" s="4" t="s">
        <v>76</v>
      </c>
    </row>
    <row r="3" spans="2:14" s="3" customFormat="1" x14ac:dyDescent="0.25">
      <c r="B3" s="44" t="s">
        <v>44</v>
      </c>
      <c r="C3" s="49" t="s">
        <v>53</v>
      </c>
      <c r="J3" s="44" t="s">
        <v>44</v>
      </c>
      <c r="K3" s="49" t="s">
        <v>53</v>
      </c>
    </row>
    <row r="4" spans="2:14" s="7" customFormat="1" x14ac:dyDescent="0.25">
      <c r="B4" s="70" t="s">
        <v>46</v>
      </c>
      <c r="C4" s="50" t="s">
        <v>53</v>
      </c>
      <c r="J4" s="70" t="s">
        <v>46</v>
      </c>
      <c r="K4" s="50" t="s">
        <v>53</v>
      </c>
    </row>
    <row r="5" spans="2:14" ht="15.75" thickBot="1" x14ac:dyDescent="0.3"/>
    <row r="6" spans="2:14" ht="24" thickBot="1" x14ac:dyDescent="0.4">
      <c r="B6" s="33" t="s">
        <v>30</v>
      </c>
      <c r="C6" s="30">
        <f>IF($C$3="All",
IF($C$4="All",SUM(INDEX(ExpenseList,,3)),
SUMIFS(INDEX(ExpenseList,,3),INDEX(ExpenseList,,13),$C$4)),
IF($C$4="All",SUMIFS(INDEX(ExpenseList,,3),INDEX(ExpenseList,,14),$C$3),
SUMIFS(INDEX(ExpenseList,,3),INDEX(ExpenseList,,13),$C$4,INDEX(ExpenseList,,14),$C$3)))</f>
        <v>0</v>
      </c>
      <c r="J6" s="33" t="s">
        <v>30</v>
      </c>
      <c r="K6" s="30">
        <f>IF($K$3="All",
IF($K$4="All",SUM(INDEX(ExpenseList,,3)),
SUMIFS(INDEX(ExpenseList,,3),INDEX(ExpenseList,,13),$K$4)),
IF($K$4="All",SUMIFS(INDEX(ExpenseList,,3),INDEX(ExpenseList,,14),$K$3),
SUMIFS(INDEX(ExpenseList,,3),INDEX(ExpenseList,,13),$K$4,INDEX(ExpenseList,,14),$K$3)))</f>
        <v>0</v>
      </c>
    </row>
    <row r="7" spans="2:14" ht="15.75" thickBot="1" x14ac:dyDescent="0.3">
      <c r="H7" s="36"/>
    </row>
    <row r="8" spans="2:14" ht="15.75" thickBot="1" x14ac:dyDescent="0.3">
      <c r="B8" s="57" t="s">
        <v>6</v>
      </c>
      <c r="C8" s="58" t="s">
        <v>49</v>
      </c>
      <c r="D8" s="58" t="s">
        <v>48</v>
      </c>
      <c r="E8" s="58" t="s">
        <v>51</v>
      </c>
      <c r="F8" s="59" t="s">
        <v>52</v>
      </c>
      <c r="H8" s="36"/>
      <c r="I8" s="56"/>
      <c r="J8" s="57" t="s">
        <v>6</v>
      </c>
      <c r="K8" s="58" t="s">
        <v>49</v>
      </c>
      <c r="L8" s="58" t="s">
        <v>48</v>
      </c>
      <c r="M8" s="58" t="s">
        <v>51</v>
      </c>
      <c r="N8" s="59" t="s">
        <v>52</v>
      </c>
    </row>
    <row r="9" spans="2:14"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c r="J9" s="31" t="str">
        <f>IF(INDEX(BudgetCat,1)=0,"",INDEX(BudgetCat,1))</f>
        <v/>
      </c>
      <c r="K9" s="72">
        <f t="shared" ref="K9:K28" si="1">IF(J9="",0,IF($K$3="All",
IF($K$4="All",SUMIFS(INDEX(ExpenseList,,3),INDEX(ExpenseList,,6),J9),
SUMIFS(INDEX(ExpenseList,,3),INDEX(ExpenseList,,6),J9,INDEX(ExpenseList,,13),$K$4)),
IF($K$4="All",SUMIFS(INDEX(ExpenseList,,3),INDEX(ExpenseList,,6),J9,INDEX(ExpenseList,,14),$K$3),
SUMIFS(INDEX(ExpenseList,,3),INDEX(ExpenseList,,6),J9,INDEX(ExpenseList,,13),$K$4,INDEX(ExpenseList,,14),$K$3))))</f>
        <v>0</v>
      </c>
      <c r="L9" s="72" cm="1">
        <f t="array" ref="L9:L28">IF($K$4="All",INDEX(Budget,,2)*12,INDEX(Budget,,2))</f>
        <v>0</v>
      </c>
      <c r="M9" s="73">
        <f>L9-K9</f>
        <v>0</v>
      </c>
      <c r="N9" s="74" t="e">
        <f>IF(K9/$K$6=0,"",K9/$K$6)</f>
        <v>#DIV/0!</v>
      </c>
    </row>
    <row r="10" spans="2:14" x14ac:dyDescent="0.25">
      <c r="B10" s="14" t="str">
        <f>IF(INDEX(BudgetCat,2)=0,"",INDEX(BudgetCat,2))</f>
        <v/>
      </c>
      <c r="C10" s="41">
        <f t="shared" si="0"/>
        <v>0</v>
      </c>
      <c r="D10" s="35">
        <v>0</v>
      </c>
      <c r="E10" s="42">
        <f t="shared" ref="E10:E28" si="2">D10-C10</f>
        <v>0</v>
      </c>
      <c r="F10" s="38" t="e">
        <f t="shared" ref="F10:F28" si="3">IF(C10/$C$6=0,"",C10/$C$6)</f>
        <v>#DIV/0!</v>
      </c>
      <c r="J10" s="14" t="str">
        <f>IF(INDEX(BudgetCat,2)=0,"",INDEX(BudgetCat,2))</f>
        <v/>
      </c>
      <c r="K10" s="41">
        <f t="shared" si="1"/>
        <v>0</v>
      </c>
      <c r="L10" s="35">
        <v>0</v>
      </c>
      <c r="M10" s="42">
        <f t="shared" ref="M10:M28" si="4">L10-K10</f>
        <v>0</v>
      </c>
      <c r="N10" s="38" t="e">
        <f t="shared" ref="N10:N28" si="5">IF(K10/$K$6=0,"",K10/$K$6)</f>
        <v>#DIV/0!</v>
      </c>
    </row>
    <row r="11" spans="2:14" x14ac:dyDescent="0.25">
      <c r="B11" s="14" t="str">
        <f>IF(INDEX(BudgetCat,3)=0,"",INDEX(BudgetCat,3))</f>
        <v/>
      </c>
      <c r="C11" s="41">
        <f t="shared" si="0"/>
        <v>0</v>
      </c>
      <c r="D11" s="35">
        <v>0</v>
      </c>
      <c r="E11" s="42">
        <f t="shared" si="2"/>
        <v>0</v>
      </c>
      <c r="F11" s="38" t="e">
        <f t="shared" si="3"/>
        <v>#DIV/0!</v>
      </c>
      <c r="J11" s="14" t="str">
        <f>IF(INDEX(BudgetCat,3)=0,"",INDEX(BudgetCat,3))</f>
        <v/>
      </c>
      <c r="K11" s="41">
        <f t="shared" si="1"/>
        <v>0</v>
      </c>
      <c r="L11" s="35">
        <v>0</v>
      </c>
      <c r="M11" s="42">
        <f t="shared" si="4"/>
        <v>0</v>
      </c>
      <c r="N11" s="38" t="e">
        <f t="shared" si="5"/>
        <v>#DIV/0!</v>
      </c>
    </row>
    <row r="12" spans="2:14" x14ac:dyDescent="0.25">
      <c r="B12" s="14" t="str">
        <f>IF(INDEX(BudgetCat,4)=0,"",INDEX(BudgetCat,4))</f>
        <v/>
      </c>
      <c r="C12" s="41">
        <f t="shared" si="0"/>
        <v>0</v>
      </c>
      <c r="D12" s="35">
        <v>0</v>
      </c>
      <c r="E12" s="42">
        <f t="shared" si="2"/>
        <v>0</v>
      </c>
      <c r="F12" s="38" t="e">
        <f t="shared" si="3"/>
        <v>#DIV/0!</v>
      </c>
      <c r="J12" s="14" t="str">
        <f>IF(INDEX(BudgetCat,4)=0,"",INDEX(BudgetCat,4))</f>
        <v/>
      </c>
      <c r="K12" s="41">
        <f t="shared" si="1"/>
        <v>0</v>
      </c>
      <c r="L12" s="35">
        <v>0</v>
      </c>
      <c r="M12" s="42">
        <f t="shared" si="4"/>
        <v>0</v>
      </c>
      <c r="N12" s="38" t="e">
        <f t="shared" si="5"/>
        <v>#DIV/0!</v>
      </c>
    </row>
    <row r="13" spans="2:14" x14ac:dyDescent="0.25">
      <c r="B13" s="14" t="str">
        <f>IF(INDEX(BudgetCat,5)=0,"",INDEX(BudgetCat,5))</f>
        <v/>
      </c>
      <c r="C13" s="41">
        <f t="shared" si="0"/>
        <v>0</v>
      </c>
      <c r="D13" s="35">
        <v>0</v>
      </c>
      <c r="E13" s="42">
        <f t="shared" si="2"/>
        <v>0</v>
      </c>
      <c r="F13" s="38" t="e">
        <f t="shared" si="3"/>
        <v>#DIV/0!</v>
      </c>
      <c r="J13" s="14" t="str">
        <f>IF(INDEX(BudgetCat,5)=0,"",INDEX(BudgetCat,5))</f>
        <v/>
      </c>
      <c r="K13" s="41">
        <f t="shared" si="1"/>
        <v>0</v>
      </c>
      <c r="L13" s="35">
        <v>0</v>
      </c>
      <c r="M13" s="42">
        <f t="shared" si="4"/>
        <v>0</v>
      </c>
      <c r="N13" s="38" t="e">
        <f t="shared" si="5"/>
        <v>#DIV/0!</v>
      </c>
    </row>
    <row r="14" spans="2:14" x14ac:dyDescent="0.25">
      <c r="B14" s="14" t="str">
        <f>IF(INDEX(BudgetCat,6)=0,"",INDEX(BudgetCat,6))</f>
        <v/>
      </c>
      <c r="C14" s="41">
        <f t="shared" si="0"/>
        <v>0</v>
      </c>
      <c r="D14" s="35">
        <v>0</v>
      </c>
      <c r="E14" s="42">
        <f t="shared" si="2"/>
        <v>0</v>
      </c>
      <c r="F14" s="38" t="e">
        <f t="shared" si="3"/>
        <v>#DIV/0!</v>
      </c>
      <c r="J14" s="14" t="str">
        <f>IF(INDEX(BudgetCat,6)=0,"",INDEX(BudgetCat,6))</f>
        <v/>
      </c>
      <c r="K14" s="41">
        <f t="shared" si="1"/>
        <v>0</v>
      </c>
      <c r="L14" s="35">
        <v>0</v>
      </c>
      <c r="M14" s="42">
        <f t="shared" si="4"/>
        <v>0</v>
      </c>
      <c r="N14" s="38" t="e">
        <f t="shared" si="5"/>
        <v>#DIV/0!</v>
      </c>
    </row>
    <row r="15" spans="2:14" x14ac:dyDescent="0.25">
      <c r="B15" s="14" t="str">
        <f>IF(INDEX(BudgetCat,7)=0,"",INDEX(BudgetCat,7))</f>
        <v/>
      </c>
      <c r="C15" s="41">
        <f t="shared" si="0"/>
        <v>0</v>
      </c>
      <c r="D15" s="35">
        <v>0</v>
      </c>
      <c r="E15" s="42">
        <f t="shared" si="2"/>
        <v>0</v>
      </c>
      <c r="F15" s="38" t="e">
        <f t="shared" si="3"/>
        <v>#DIV/0!</v>
      </c>
      <c r="J15" s="14" t="str">
        <f>IF(INDEX(BudgetCat,7)=0,"",INDEX(BudgetCat,7))</f>
        <v/>
      </c>
      <c r="K15" s="41">
        <f t="shared" si="1"/>
        <v>0</v>
      </c>
      <c r="L15" s="35">
        <v>0</v>
      </c>
      <c r="M15" s="42">
        <f t="shared" si="4"/>
        <v>0</v>
      </c>
      <c r="N15" s="38" t="e">
        <f t="shared" si="5"/>
        <v>#DIV/0!</v>
      </c>
    </row>
    <row r="16" spans="2:14" x14ac:dyDescent="0.25">
      <c r="B16" s="14" t="str">
        <f>IF(INDEX(BudgetCat,8)=0,"",INDEX(BudgetCat,8))</f>
        <v/>
      </c>
      <c r="C16" s="41">
        <f t="shared" si="0"/>
        <v>0</v>
      </c>
      <c r="D16" s="35">
        <v>0</v>
      </c>
      <c r="E16" s="42">
        <f t="shared" si="2"/>
        <v>0</v>
      </c>
      <c r="F16" s="38" t="e">
        <f t="shared" si="3"/>
        <v>#DIV/0!</v>
      </c>
      <c r="J16" s="14" t="str">
        <f>IF(INDEX(BudgetCat,8)=0,"",INDEX(BudgetCat,8))</f>
        <v/>
      </c>
      <c r="K16" s="41">
        <f t="shared" si="1"/>
        <v>0</v>
      </c>
      <c r="L16" s="35">
        <v>0</v>
      </c>
      <c r="M16" s="42">
        <f t="shared" si="4"/>
        <v>0</v>
      </c>
      <c r="N16" s="38" t="e">
        <f t="shared" si="5"/>
        <v>#DIV/0!</v>
      </c>
    </row>
    <row r="17" spans="2:14" x14ac:dyDescent="0.25">
      <c r="B17" s="14" t="str">
        <f>IF(INDEX(BudgetCat,9)=0,"",INDEX(BudgetCat,9))</f>
        <v/>
      </c>
      <c r="C17" s="41">
        <f t="shared" si="0"/>
        <v>0</v>
      </c>
      <c r="D17" s="35">
        <v>0</v>
      </c>
      <c r="E17" s="42">
        <f t="shared" si="2"/>
        <v>0</v>
      </c>
      <c r="F17" s="38" t="e">
        <f t="shared" si="3"/>
        <v>#DIV/0!</v>
      </c>
      <c r="J17" s="14" t="str">
        <f>IF(INDEX(BudgetCat,9)=0,"",INDEX(BudgetCat,9))</f>
        <v/>
      </c>
      <c r="K17" s="41">
        <f t="shared" si="1"/>
        <v>0</v>
      </c>
      <c r="L17" s="35">
        <v>0</v>
      </c>
      <c r="M17" s="42">
        <f t="shared" si="4"/>
        <v>0</v>
      </c>
      <c r="N17" s="38" t="e">
        <f t="shared" si="5"/>
        <v>#DIV/0!</v>
      </c>
    </row>
    <row r="18" spans="2:14" x14ac:dyDescent="0.25">
      <c r="B18" s="14" t="str">
        <f>IF(INDEX(BudgetCat,10)=0,"",INDEX(BudgetCat,10))</f>
        <v/>
      </c>
      <c r="C18" s="41">
        <f t="shared" si="0"/>
        <v>0</v>
      </c>
      <c r="D18" s="35">
        <v>0</v>
      </c>
      <c r="E18" s="42">
        <f t="shared" si="2"/>
        <v>0</v>
      </c>
      <c r="F18" s="38" t="e">
        <f t="shared" si="3"/>
        <v>#DIV/0!</v>
      </c>
      <c r="J18" s="14" t="str">
        <f>IF(INDEX(BudgetCat,10)=0,"",INDEX(BudgetCat,10))</f>
        <v/>
      </c>
      <c r="K18" s="41">
        <f t="shared" si="1"/>
        <v>0</v>
      </c>
      <c r="L18" s="35">
        <v>0</v>
      </c>
      <c r="M18" s="42">
        <f t="shared" si="4"/>
        <v>0</v>
      </c>
      <c r="N18" s="38" t="e">
        <f t="shared" si="5"/>
        <v>#DIV/0!</v>
      </c>
    </row>
    <row r="19" spans="2:14" x14ac:dyDescent="0.25">
      <c r="B19" s="14" t="str">
        <f>IF(INDEX(BudgetCat,11)=0,"",INDEX(BudgetCat,11))</f>
        <v/>
      </c>
      <c r="C19" s="41">
        <f t="shared" si="0"/>
        <v>0</v>
      </c>
      <c r="D19" s="35">
        <v>0</v>
      </c>
      <c r="E19" s="42">
        <f t="shared" si="2"/>
        <v>0</v>
      </c>
      <c r="F19" s="38" t="e">
        <f t="shared" si="3"/>
        <v>#DIV/0!</v>
      </c>
      <c r="J19" s="14" t="str">
        <f>IF(INDEX(BudgetCat,11)=0,"",INDEX(BudgetCat,11))</f>
        <v/>
      </c>
      <c r="K19" s="41">
        <f t="shared" si="1"/>
        <v>0</v>
      </c>
      <c r="L19" s="35">
        <v>0</v>
      </c>
      <c r="M19" s="42">
        <f t="shared" si="4"/>
        <v>0</v>
      </c>
      <c r="N19" s="38" t="e">
        <f t="shared" si="5"/>
        <v>#DIV/0!</v>
      </c>
    </row>
    <row r="20" spans="2:14" x14ac:dyDescent="0.25">
      <c r="B20" s="14" t="str">
        <f>IF(INDEX(BudgetCat,12)=0,"",INDEX(BudgetCat,12))</f>
        <v/>
      </c>
      <c r="C20" s="41">
        <f t="shared" si="0"/>
        <v>0</v>
      </c>
      <c r="D20" s="35">
        <v>0</v>
      </c>
      <c r="E20" s="42">
        <f t="shared" si="2"/>
        <v>0</v>
      </c>
      <c r="F20" s="38" t="e">
        <f t="shared" si="3"/>
        <v>#DIV/0!</v>
      </c>
      <c r="J20" s="14" t="str">
        <f>IF(INDEX(BudgetCat,12)=0,"",INDEX(BudgetCat,12))</f>
        <v/>
      </c>
      <c r="K20" s="41">
        <f t="shared" si="1"/>
        <v>0</v>
      </c>
      <c r="L20" s="35">
        <v>0</v>
      </c>
      <c r="M20" s="42">
        <f t="shared" si="4"/>
        <v>0</v>
      </c>
      <c r="N20" s="38" t="e">
        <f t="shared" si="5"/>
        <v>#DIV/0!</v>
      </c>
    </row>
    <row r="21" spans="2:14" x14ac:dyDescent="0.25">
      <c r="B21" s="14" t="str">
        <f>IF(INDEX(BudgetCat,13)=0,"",INDEX(BudgetCat,13))</f>
        <v/>
      </c>
      <c r="C21" s="41">
        <f t="shared" si="0"/>
        <v>0</v>
      </c>
      <c r="D21" s="35">
        <v>0</v>
      </c>
      <c r="E21" s="42">
        <f t="shared" si="2"/>
        <v>0</v>
      </c>
      <c r="F21" s="38" t="e">
        <f t="shared" si="3"/>
        <v>#DIV/0!</v>
      </c>
      <c r="J21" s="14" t="str">
        <f>IF(INDEX(BudgetCat,13)=0,"",INDEX(BudgetCat,13))</f>
        <v/>
      </c>
      <c r="K21" s="41">
        <f t="shared" si="1"/>
        <v>0</v>
      </c>
      <c r="L21" s="35">
        <v>0</v>
      </c>
      <c r="M21" s="42">
        <f t="shared" si="4"/>
        <v>0</v>
      </c>
      <c r="N21" s="38" t="e">
        <f t="shared" si="5"/>
        <v>#DIV/0!</v>
      </c>
    </row>
    <row r="22" spans="2:14" x14ac:dyDescent="0.25">
      <c r="B22" s="14" t="str">
        <f>IF(INDEX(BudgetCat,14)=0,"",INDEX(BudgetCat,14))</f>
        <v/>
      </c>
      <c r="C22" s="41">
        <f t="shared" si="0"/>
        <v>0</v>
      </c>
      <c r="D22" s="35">
        <v>0</v>
      </c>
      <c r="E22" s="42">
        <f t="shared" si="2"/>
        <v>0</v>
      </c>
      <c r="F22" s="38" t="e">
        <f t="shared" si="3"/>
        <v>#DIV/0!</v>
      </c>
      <c r="J22" s="14" t="str">
        <f>IF(INDEX(BudgetCat,14)=0,"",INDEX(BudgetCat,14))</f>
        <v/>
      </c>
      <c r="K22" s="41">
        <f t="shared" si="1"/>
        <v>0</v>
      </c>
      <c r="L22" s="35">
        <v>0</v>
      </c>
      <c r="M22" s="42">
        <f t="shared" si="4"/>
        <v>0</v>
      </c>
      <c r="N22" s="38" t="e">
        <f t="shared" si="5"/>
        <v>#DIV/0!</v>
      </c>
    </row>
    <row r="23" spans="2:14" x14ac:dyDescent="0.25">
      <c r="B23" s="14" t="str">
        <f>IF(INDEX(BudgetCat,15)=0,"",INDEX(BudgetCat,15))</f>
        <v/>
      </c>
      <c r="C23" s="41">
        <f t="shared" si="0"/>
        <v>0</v>
      </c>
      <c r="D23" s="35">
        <v>0</v>
      </c>
      <c r="E23" s="42">
        <f t="shared" si="2"/>
        <v>0</v>
      </c>
      <c r="F23" s="38" t="e">
        <f t="shared" si="3"/>
        <v>#DIV/0!</v>
      </c>
      <c r="J23" s="14" t="str">
        <f>IF(INDEX(BudgetCat,15)=0,"",INDEX(BudgetCat,15))</f>
        <v/>
      </c>
      <c r="K23" s="41">
        <f t="shared" si="1"/>
        <v>0</v>
      </c>
      <c r="L23" s="35">
        <v>0</v>
      </c>
      <c r="M23" s="42">
        <f t="shared" si="4"/>
        <v>0</v>
      </c>
      <c r="N23" s="38" t="e">
        <f t="shared" si="5"/>
        <v>#DIV/0!</v>
      </c>
    </row>
    <row r="24" spans="2:14" x14ac:dyDescent="0.25">
      <c r="B24" s="14" t="str">
        <f>IF(INDEX(BudgetCat,16)=0,"",INDEX(BudgetCat,16))</f>
        <v/>
      </c>
      <c r="C24" s="41">
        <f t="shared" si="0"/>
        <v>0</v>
      </c>
      <c r="D24" s="35">
        <v>0</v>
      </c>
      <c r="E24" s="42">
        <f t="shared" si="2"/>
        <v>0</v>
      </c>
      <c r="F24" s="38" t="e">
        <f t="shared" si="3"/>
        <v>#DIV/0!</v>
      </c>
      <c r="J24" s="14" t="str">
        <f>IF(INDEX(BudgetCat,16)=0,"",INDEX(BudgetCat,16))</f>
        <v/>
      </c>
      <c r="K24" s="41">
        <f t="shared" si="1"/>
        <v>0</v>
      </c>
      <c r="L24" s="35">
        <v>0</v>
      </c>
      <c r="M24" s="42">
        <f t="shared" si="4"/>
        <v>0</v>
      </c>
      <c r="N24" s="38" t="e">
        <f t="shared" si="5"/>
        <v>#DIV/0!</v>
      </c>
    </row>
    <row r="25" spans="2:14" x14ac:dyDescent="0.25">
      <c r="B25" s="14" t="str">
        <f>IF(INDEX(BudgetCat,17)=0,"",INDEX(BudgetCat,17))</f>
        <v/>
      </c>
      <c r="C25" s="41">
        <f t="shared" si="0"/>
        <v>0</v>
      </c>
      <c r="D25" s="35">
        <v>0</v>
      </c>
      <c r="E25" s="42">
        <f t="shared" si="2"/>
        <v>0</v>
      </c>
      <c r="F25" s="38" t="e">
        <f t="shared" si="3"/>
        <v>#DIV/0!</v>
      </c>
      <c r="J25" s="14" t="str">
        <f>IF(INDEX(BudgetCat,17)=0,"",INDEX(BudgetCat,17))</f>
        <v/>
      </c>
      <c r="K25" s="41">
        <f t="shared" si="1"/>
        <v>0</v>
      </c>
      <c r="L25" s="35">
        <v>0</v>
      </c>
      <c r="M25" s="42">
        <f t="shared" si="4"/>
        <v>0</v>
      </c>
      <c r="N25" s="38" t="e">
        <f t="shared" si="5"/>
        <v>#DIV/0!</v>
      </c>
    </row>
    <row r="26" spans="2:14" x14ac:dyDescent="0.25">
      <c r="B26" s="14" t="str">
        <f>IF(INDEX(BudgetCat,18)=0,"",INDEX(BudgetCat,18))</f>
        <v/>
      </c>
      <c r="C26" s="41">
        <f t="shared" si="0"/>
        <v>0</v>
      </c>
      <c r="D26" s="35">
        <v>0</v>
      </c>
      <c r="E26" s="42">
        <f t="shared" si="2"/>
        <v>0</v>
      </c>
      <c r="F26" s="38" t="e">
        <f t="shared" si="3"/>
        <v>#DIV/0!</v>
      </c>
      <c r="J26" s="14" t="str">
        <f>IF(INDEX(BudgetCat,18)=0,"",INDEX(BudgetCat,18))</f>
        <v/>
      </c>
      <c r="K26" s="41">
        <f t="shared" si="1"/>
        <v>0</v>
      </c>
      <c r="L26" s="35">
        <v>0</v>
      </c>
      <c r="M26" s="42">
        <f t="shared" si="4"/>
        <v>0</v>
      </c>
      <c r="N26" s="38" t="e">
        <f t="shared" si="5"/>
        <v>#DIV/0!</v>
      </c>
    </row>
    <row r="27" spans="2:14" x14ac:dyDescent="0.25">
      <c r="B27" s="14" t="str">
        <f>IF(INDEX(BudgetCat,19)=0,"",INDEX(BudgetCat,19))</f>
        <v/>
      </c>
      <c r="C27" s="41">
        <f t="shared" si="0"/>
        <v>0</v>
      </c>
      <c r="D27" s="35">
        <v>0</v>
      </c>
      <c r="E27" s="42">
        <f t="shared" si="2"/>
        <v>0</v>
      </c>
      <c r="F27" s="38" t="e">
        <f t="shared" si="3"/>
        <v>#DIV/0!</v>
      </c>
      <c r="J27" s="14" t="str">
        <f>IF(INDEX(BudgetCat,19)=0,"",INDEX(BudgetCat,19))</f>
        <v/>
      </c>
      <c r="K27" s="41">
        <f t="shared" si="1"/>
        <v>0</v>
      </c>
      <c r="L27" s="35">
        <v>0</v>
      </c>
      <c r="M27" s="42">
        <f t="shared" si="4"/>
        <v>0</v>
      </c>
      <c r="N27" s="38" t="e">
        <f t="shared" si="5"/>
        <v>#DIV/0!</v>
      </c>
    </row>
    <row r="28" spans="2:14" ht="15.75" thickBot="1" x14ac:dyDescent="0.3">
      <c r="B28" s="15" t="str">
        <f>IF(INDEX(BudgetCat,20)=0,"",INDEX(BudgetCat,20))</f>
        <v/>
      </c>
      <c r="C28" s="75">
        <f t="shared" si="0"/>
        <v>0</v>
      </c>
      <c r="D28" s="39">
        <v>0</v>
      </c>
      <c r="E28" s="43">
        <f t="shared" si="2"/>
        <v>0</v>
      </c>
      <c r="F28" s="40" t="e">
        <f t="shared" si="3"/>
        <v>#DIV/0!</v>
      </c>
      <c r="J28" s="15" t="str">
        <f>IF(INDEX(BudgetCat,20)=0,"",INDEX(BudgetCat,20))</f>
        <v/>
      </c>
      <c r="K28" s="75">
        <f t="shared" si="1"/>
        <v>0</v>
      </c>
      <c r="L28" s="39">
        <v>0</v>
      </c>
      <c r="M28" s="43">
        <f t="shared" si="4"/>
        <v>0</v>
      </c>
      <c r="N28" s="40" t="e">
        <f t="shared" si="5"/>
        <v>#DIV/0!</v>
      </c>
    </row>
    <row r="29" spans="2:14" ht="15.75" thickBot="1" x14ac:dyDescent="0.3">
      <c r="D29" s="24" t="s">
        <v>50</v>
      </c>
      <c r="E29" s="37">
        <f>SUM(E9:E22)</f>
        <v>0</v>
      </c>
      <c r="L29" s="24" t="s">
        <v>50</v>
      </c>
      <c r="M29" s="37">
        <f>SUM(M9:M22)</f>
        <v>0</v>
      </c>
    </row>
  </sheetData>
  <sheetProtection autoFilter="0"/>
  <protectedRanges>
    <protectedRange sqref="C3:C4 K3:K4" name="Range1"/>
  </protectedRanges>
  <conditionalFormatting sqref="E9:E28">
    <cfRule type="dataBar" priority="4">
      <dataBar>
        <cfvo type="min"/>
        <cfvo type="max"/>
        <color rgb="FF63C384"/>
      </dataBar>
      <extLst>
        <ext xmlns:x14="http://schemas.microsoft.com/office/spreadsheetml/2009/9/main" uri="{B025F937-C7B1-47D3-B67F-A62EFF666E3E}">
          <x14:id>{CCF4FCCD-529B-4DE5-9C71-6B6069BA8CB5}</x14:id>
        </ext>
      </extLst>
    </cfRule>
  </conditionalFormatting>
  <conditionalFormatting sqref="F9:F28">
    <cfRule type="colorScale" priority="3">
      <colorScale>
        <cfvo type="min"/>
        <cfvo type="max"/>
        <color rgb="FFFCFCFF"/>
        <color rgb="FFF8696B"/>
      </colorScale>
    </cfRule>
  </conditionalFormatting>
  <conditionalFormatting sqref="M9:M28">
    <cfRule type="dataBar" priority="2">
      <dataBar>
        <cfvo type="min"/>
        <cfvo type="max"/>
        <color rgb="FF63C384"/>
      </dataBar>
      <extLst>
        <ext xmlns:x14="http://schemas.microsoft.com/office/spreadsheetml/2009/9/main" uri="{B025F937-C7B1-47D3-B67F-A62EFF666E3E}">
          <x14:id>{BC432E25-D68A-4F74-9ACD-A92CAFCC94AA}</x14:id>
        </ext>
      </extLst>
    </cfRule>
  </conditionalFormatting>
  <conditionalFormatting sqref="N9:N28">
    <cfRule type="colorScale" priority="1">
      <colorScale>
        <cfvo type="min"/>
        <cfvo type="max"/>
        <color rgb="FFFCFCFF"/>
        <color rgb="FFF8696B"/>
      </colorScale>
    </cfRule>
  </conditionalFormatting>
  <dataValidations count="2">
    <dataValidation type="list" allowBlank="1" showInputMessage="1" showErrorMessage="1" sqref="C4 K4" xr:uid="{B6B242C4-3C9F-4624-868A-7C757D696E57}">
      <formula1>Month_List</formula1>
    </dataValidation>
    <dataValidation type="list" allowBlank="1" showInputMessage="1" showErrorMessage="1" sqref="C3 K3" xr:uid="{8CB576A5-FD18-4D3E-94E0-B361FF8A0235}">
      <formula1>Year_List</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CF4FCCD-529B-4DE5-9C71-6B6069BA8CB5}">
            <x14:dataBar minLength="0" maxLength="100" gradient="0">
              <x14:cfvo type="autoMin"/>
              <x14:cfvo type="autoMax"/>
              <x14:negativeFillColor rgb="FFFF0000"/>
              <x14:axisColor rgb="FF000000"/>
            </x14:dataBar>
          </x14:cfRule>
          <xm:sqref>E9:E28</xm:sqref>
        </x14:conditionalFormatting>
        <x14:conditionalFormatting xmlns:xm="http://schemas.microsoft.com/office/excel/2006/main">
          <x14:cfRule type="dataBar" id="{BC432E25-D68A-4F74-9ACD-A92CAFCC94AA}">
            <x14:dataBar minLength="0" maxLength="100" gradient="0">
              <x14:cfvo type="autoMin"/>
              <x14:cfvo type="autoMax"/>
              <x14:negativeFillColor rgb="FFFF0000"/>
              <x14:axisColor rgb="FF000000"/>
            </x14:dataBar>
          </x14:cfRule>
          <xm:sqref>M9:M28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8187-5786-489F-9907-064284B9DA3A}">
  <sheetPr codeName="Sheet3"/>
  <dimension ref="A1:O3"/>
  <sheetViews>
    <sheetView workbookViewId="0">
      <selection activeCell="O1" sqref="O1"/>
    </sheetView>
  </sheetViews>
  <sheetFormatPr defaultRowHeight="15" x14ac:dyDescent="0.25"/>
  <sheetData>
    <row r="1" spans="1:15" x14ac:dyDescent="0.25">
      <c r="A1" t="s">
        <v>17</v>
      </c>
      <c r="B1" t="s">
        <v>18</v>
      </c>
      <c r="C1" t="s">
        <v>19</v>
      </c>
      <c r="D1" t="s">
        <v>20</v>
      </c>
      <c r="E1" t="s">
        <v>21</v>
      </c>
      <c r="F1" t="s">
        <v>25</v>
      </c>
      <c r="G1" t="s">
        <v>22</v>
      </c>
      <c r="H1" t="s">
        <v>23</v>
      </c>
      <c r="I1" t="s">
        <v>24</v>
      </c>
      <c r="J1" t="s">
        <v>27</v>
      </c>
      <c r="K1" t="s">
        <v>26</v>
      </c>
      <c r="O1" t="s">
        <v>84</v>
      </c>
    </row>
    <row r="2" spans="1:15" x14ac:dyDescent="0.25">
      <c r="A2" t="s">
        <v>77</v>
      </c>
      <c r="B2" t="s">
        <v>78</v>
      </c>
      <c r="C2" t="b">
        <v>1</v>
      </c>
      <c r="D2" t="s">
        <v>79</v>
      </c>
      <c r="E2" t="s">
        <v>80</v>
      </c>
      <c r="F2" t="s">
        <v>81</v>
      </c>
      <c r="G2" t="s">
        <v>82</v>
      </c>
      <c r="H2">
        <v>2</v>
      </c>
      <c r="I2" t="b">
        <v>0</v>
      </c>
      <c r="J2" t="s">
        <v>83</v>
      </c>
      <c r="K2" t="s">
        <v>83</v>
      </c>
    </row>
    <row r="3" spans="1:15" x14ac:dyDescent="0.25">
      <c r="A3">
        <v>12322</v>
      </c>
      <c r="B3" t="s">
        <v>85</v>
      </c>
      <c r="C3" t="b">
        <v>0</v>
      </c>
      <c r="D3" t="s">
        <v>79</v>
      </c>
      <c r="E3" t="s">
        <v>79</v>
      </c>
      <c r="F3" t="s">
        <v>79</v>
      </c>
      <c r="G3" t="s">
        <v>79</v>
      </c>
      <c r="H3">
        <v>2</v>
      </c>
      <c r="I3" t="b">
        <v>0</v>
      </c>
      <c r="J3" t="s">
        <v>83</v>
      </c>
      <c r="K3" t="s">
        <v>83</v>
      </c>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Instructions</vt:lpstr>
      <vt:lpstr>Main Tab</vt:lpstr>
      <vt:lpstr>Monthly Dashboard</vt:lpstr>
      <vt:lpstr>Expense List</vt:lpstr>
      <vt:lpstr>Working Sheet</vt:lpstr>
      <vt:lpstr>Backup Expense List</vt:lpstr>
      <vt:lpstr>Category Dashboard</vt:lpstr>
      <vt:lpstr>Annual Dashboard</vt:lpstr>
      <vt:lpstr>Monthly Compare Dashboard</vt:lpstr>
      <vt:lpstr>Account Variables</vt:lpstr>
      <vt:lpstr>Budget</vt:lpstr>
      <vt:lpstr>BudgetCat</vt:lpstr>
      <vt:lpstr>Cat_List</vt:lpstr>
      <vt:lpstr>'Backup Expense List'!ExpenseList</vt:lpstr>
      <vt:lpstr>ExpenseList</vt:lpstr>
      <vt:lpstr>Month_List</vt:lpstr>
      <vt:lpstr>Year_List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ExpenseBook</dc:title>
  <dc:creator>Joshua Petersheim</dc:creator>
  <cp:keywords>expenses, finances, tracking, lists, budget</cp:keywords>
  <dc:description>Made to allow users to track their expenses</dc:description>
  <cp:lastModifiedBy>Josh Petersheim</cp:lastModifiedBy>
  <dcterms:created xsi:type="dcterms:W3CDTF">2020-03-01T23:04:16Z</dcterms:created>
  <dcterms:modified xsi:type="dcterms:W3CDTF">2021-04-08T00:59:19Z</dcterms:modified>
  <cp:category>Finance</cp:category>
</cp:coreProperties>
</file>
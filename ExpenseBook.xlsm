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9.xml" ContentType="application/vnd.ms-excel.controlproperties+xml"/>
  <Override PartName="/xl/tables/table2.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0.xml" ContentType="application/vnd.ms-excel.controlproperties+xml"/>
  <Override PartName="/xl/tables/table3.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1e5b1244254d0c8f/ExpenseBook/"/>
    </mc:Choice>
  </mc:AlternateContent>
  <xr:revisionPtr revIDLastSave="13" documentId="13_ncr:1_{B4E75650-BDAC-47A8-AF71-ABD777D6CA82}" xr6:coauthVersionLast="46" xr6:coauthVersionMax="46" xr10:uidLastSave="{D29C63FB-34AB-417E-86A7-9DB50B24F993}"/>
  <bookViews>
    <workbookView xWindow="-23175" yWindow="2505" windowWidth="21600" windowHeight="12765" tabRatio="744" activeTab="1" xr2:uid="{9B92E049-33A5-40DC-851B-34EECC556C6F}"/>
  </bookViews>
  <sheets>
    <sheet name="Instructions" sheetId="223" r:id="rId1"/>
    <sheet name="Main Tab" sheetId="4" r:id="rId2"/>
    <sheet name="Expense List" sheetId="157" r:id="rId3"/>
    <sheet name="Monthly Dashboard" sheetId="187" r:id="rId4"/>
    <sheet name="Working Sheet" sheetId="2" state="hidden" r:id="rId5"/>
    <sheet name="Backup Expense List" sheetId="389" state="hidden" r:id="rId6"/>
    <sheet name="Category Dashboard" sheetId="193" r:id="rId7"/>
    <sheet name="Annual Dashboard" sheetId="185" r:id="rId8"/>
    <sheet name="Monthly Compare Dashboard" sheetId="224" r:id="rId9"/>
    <sheet name="Account Variables" sheetId="6" state="hidden" r:id="rId10"/>
  </sheets>
  <functionGroups builtInGroupCount="19"/>
  <definedNames>
    <definedName name="_xlnm._FilterDatabase" localSheetId="5" hidden="1">'Backup Expense List'!$A$2:$L$2</definedName>
    <definedName name="_xlnm._FilterDatabase" localSheetId="2" hidden="1">'Expense List'!$A$2:$L$2</definedName>
    <definedName name="Budget">'Main Tab'!$F$11:$G$30</definedName>
    <definedName name="BudgetCat">'Main Tab'!$F$11:$F$30</definedName>
    <definedName name="Cat_List">'Working Sheet'!$D$3:$D$5</definedName>
    <definedName name="ExpenseList" localSheetId="5">'Backup Expense List'!$A$2:$N$157</definedName>
    <definedName name="ExpenseList">'Expense List'!$A$2:$N$2</definedName>
    <definedName name="Month_List">'Working Sheet'!$B$3:$B$4</definedName>
    <definedName name="Year_List">'Working Sheet'!$C$3:$C$4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57" i="389" l="1"/>
  <c r="M157" i="389"/>
  <c r="N156" i="389"/>
  <c r="M156" i="389"/>
  <c r="N155" i="389"/>
  <c r="M155" i="389"/>
  <c r="N154" i="389"/>
  <c r="M154" i="389"/>
  <c r="N153" i="389"/>
  <c r="M153" i="389"/>
  <c r="N152" i="389"/>
  <c r="M152" i="389"/>
  <c r="N151" i="389"/>
  <c r="M151" i="389"/>
  <c r="N150" i="389"/>
  <c r="M150" i="389"/>
  <c r="N149" i="389"/>
  <c r="M149" i="389"/>
  <c r="N148" i="389"/>
  <c r="M148" i="389"/>
  <c r="N147" i="389"/>
  <c r="M147" i="389"/>
  <c r="N146" i="389"/>
  <c r="M146" i="389"/>
  <c r="N145" i="389"/>
  <c r="M145" i="389"/>
  <c r="N144" i="389"/>
  <c r="M144" i="389"/>
  <c r="N143" i="389"/>
  <c r="M143" i="389"/>
  <c r="N142" i="389"/>
  <c r="M142" i="389"/>
  <c r="N141" i="389"/>
  <c r="M141" i="389"/>
  <c r="N140" i="389"/>
  <c r="M140" i="389"/>
  <c r="N139" i="389"/>
  <c r="M139" i="389"/>
  <c r="N138" i="389"/>
  <c r="M138" i="389"/>
  <c r="N137" i="389"/>
  <c r="M137" i="389"/>
  <c r="N136" i="389"/>
  <c r="M136" i="389"/>
  <c r="N135" i="389"/>
  <c r="M135" i="389"/>
  <c r="N134" i="389"/>
  <c r="M134" i="389"/>
  <c r="N133" i="389"/>
  <c r="M133" i="389"/>
  <c r="N132" i="389"/>
  <c r="M132" i="389"/>
  <c r="N131" i="389"/>
  <c r="M131" i="389"/>
  <c r="N130" i="389"/>
  <c r="M130" i="389"/>
  <c r="N129" i="389"/>
  <c r="M129" i="389"/>
  <c r="N128" i="389"/>
  <c r="M128" i="389"/>
  <c r="N127" i="389"/>
  <c r="M127" i="389"/>
  <c r="N126" i="389"/>
  <c r="M126" i="389"/>
  <c r="N125" i="389"/>
  <c r="M125" i="389"/>
  <c r="N124" i="389"/>
  <c r="M124" i="389"/>
  <c r="N123" i="389"/>
  <c r="M123" i="389"/>
  <c r="N122" i="389"/>
  <c r="M122" i="389"/>
  <c r="N121" i="389"/>
  <c r="M121" i="389"/>
  <c r="N120" i="389"/>
  <c r="M120" i="389"/>
  <c r="N119" i="389"/>
  <c r="M119" i="389"/>
  <c r="N118" i="389"/>
  <c r="M118" i="389"/>
  <c r="N117" i="389"/>
  <c r="M117" i="389"/>
  <c r="N116" i="389"/>
  <c r="M116" i="389"/>
  <c r="N115" i="389"/>
  <c r="M115" i="389"/>
  <c r="N114" i="389"/>
  <c r="M114" i="389"/>
  <c r="N113" i="389"/>
  <c r="M113" i="389"/>
  <c r="N112" i="389"/>
  <c r="M112" i="389"/>
  <c r="N111" i="389"/>
  <c r="M111" i="389"/>
  <c r="N110" i="389"/>
  <c r="M110" i="389"/>
  <c r="N109" i="389"/>
  <c r="M109" i="389"/>
  <c r="N108" i="389"/>
  <c r="M108" i="389"/>
  <c r="N107" i="389"/>
  <c r="M107" i="389"/>
  <c r="N106" i="389"/>
  <c r="M106" i="389"/>
  <c r="N105" i="389"/>
  <c r="M105" i="389"/>
  <c r="N104" i="389"/>
  <c r="M104" i="389"/>
  <c r="N103" i="389"/>
  <c r="M103" i="389"/>
  <c r="N102" i="389"/>
  <c r="M102" i="389"/>
  <c r="N101" i="389"/>
  <c r="M101" i="389"/>
  <c r="N100" i="389"/>
  <c r="M100" i="389"/>
  <c r="N99" i="389"/>
  <c r="M99" i="389"/>
  <c r="N98" i="389"/>
  <c r="M98" i="389"/>
  <c r="N97" i="389"/>
  <c r="M97" i="389"/>
  <c r="N96" i="389"/>
  <c r="M96" i="389"/>
  <c r="N95" i="389"/>
  <c r="M95" i="389"/>
  <c r="N94" i="389"/>
  <c r="M94" i="389"/>
  <c r="N93" i="389"/>
  <c r="M93" i="389"/>
  <c r="N92" i="389"/>
  <c r="M92" i="389"/>
  <c r="N91" i="389"/>
  <c r="M91" i="389"/>
  <c r="N90" i="389"/>
  <c r="M90" i="389"/>
  <c r="N89" i="389"/>
  <c r="M89" i="389"/>
  <c r="N88" i="389"/>
  <c r="M88" i="389"/>
  <c r="N87" i="389"/>
  <c r="M87" i="389"/>
  <c r="N86" i="389"/>
  <c r="M86" i="389"/>
  <c r="N85" i="389"/>
  <c r="M85" i="389"/>
  <c r="N84" i="389"/>
  <c r="M84" i="389"/>
  <c r="N83" i="389"/>
  <c r="M83" i="389"/>
  <c r="N82" i="389"/>
  <c r="M82" i="389"/>
  <c r="N81" i="389"/>
  <c r="M81" i="389"/>
  <c r="N80" i="389"/>
  <c r="M80" i="389"/>
  <c r="N79" i="389"/>
  <c r="M79" i="389"/>
  <c r="N78" i="389"/>
  <c r="M78" i="389"/>
  <c r="N77" i="389"/>
  <c r="M77" i="389"/>
  <c r="N76" i="389"/>
  <c r="M76" i="389"/>
  <c r="N75" i="389"/>
  <c r="M75" i="389"/>
  <c r="N74" i="389"/>
  <c r="M74" i="389"/>
  <c r="N73" i="389"/>
  <c r="M73" i="389"/>
  <c r="N72" i="389"/>
  <c r="M72" i="389"/>
  <c r="N71" i="389"/>
  <c r="M71" i="389"/>
  <c r="N70" i="389"/>
  <c r="M70" i="389"/>
  <c r="N69" i="389"/>
  <c r="M69" i="389"/>
  <c r="N68" i="389"/>
  <c r="M68" i="389"/>
  <c r="N67" i="389"/>
  <c r="M67" i="389"/>
  <c r="N66" i="389"/>
  <c r="M66" i="389"/>
  <c r="N65" i="389"/>
  <c r="M65" i="389"/>
  <c r="N64" i="389"/>
  <c r="M64" i="389"/>
  <c r="N63" i="389"/>
  <c r="M63" i="389"/>
  <c r="N62" i="389"/>
  <c r="M62" i="389"/>
  <c r="N61" i="389"/>
  <c r="M61" i="389"/>
  <c r="N60" i="389"/>
  <c r="M60" i="389"/>
  <c r="N59" i="389"/>
  <c r="M59" i="389"/>
  <c r="N58" i="389"/>
  <c r="M58" i="389"/>
  <c r="N57" i="389"/>
  <c r="M57" i="389"/>
  <c r="N56" i="389"/>
  <c r="M56" i="389"/>
  <c r="N55" i="389"/>
  <c r="M55" i="389"/>
  <c r="N54" i="389"/>
  <c r="M54" i="389"/>
  <c r="N53" i="389"/>
  <c r="M53" i="389"/>
  <c r="N52" i="389"/>
  <c r="M52" i="389"/>
  <c r="N51" i="389"/>
  <c r="M51" i="389"/>
  <c r="N50" i="389"/>
  <c r="M50" i="389"/>
  <c r="N49" i="389"/>
  <c r="M49" i="389"/>
  <c r="N48" i="389"/>
  <c r="M48" i="389"/>
  <c r="N47" i="389"/>
  <c r="M47" i="389"/>
  <c r="N46" i="389"/>
  <c r="M46" i="389"/>
  <c r="N45" i="389"/>
  <c r="M45" i="389"/>
  <c r="N44" i="389"/>
  <c r="M44" i="389"/>
  <c r="N43" i="389"/>
  <c r="M43" i="389"/>
  <c r="N42" i="389"/>
  <c r="M42" i="389"/>
  <c r="N41" i="389"/>
  <c r="M41" i="389"/>
  <c r="N40" i="389"/>
  <c r="M40" i="389"/>
  <c r="N39" i="389"/>
  <c r="M39" i="389"/>
  <c r="N38" i="389"/>
  <c r="M38" i="389"/>
  <c r="N37" i="389"/>
  <c r="M37" i="389"/>
  <c r="N36" i="389"/>
  <c r="M36" i="389"/>
  <c r="N35" i="389"/>
  <c r="M35" i="389"/>
  <c r="N34" i="389"/>
  <c r="M34" i="389"/>
  <c r="N33" i="389"/>
  <c r="M33" i="389"/>
  <c r="N32" i="389"/>
  <c r="M32" i="389"/>
  <c r="N31" i="389"/>
  <c r="M31" i="389"/>
  <c r="N30" i="389"/>
  <c r="M30" i="389"/>
  <c r="N29" i="389"/>
  <c r="M29" i="389"/>
  <c r="N28" i="389"/>
  <c r="M28" i="389"/>
  <c r="N27" i="389"/>
  <c r="M27" i="389"/>
  <c r="N26" i="389"/>
  <c r="M26" i="389"/>
  <c r="N25" i="389"/>
  <c r="M25" i="389"/>
  <c r="N24" i="389"/>
  <c r="M24" i="389"/>
  <c r="N23" i="389"/>
  <c r="M23" i="389"/>
  <c r="N22" i="389"/>
  <c r="M22" i="389"/>
  <c r="N21" i="389"/>
  <c r="M21" i="389"/>
  <c r="N20" i="389"/>
  <c r="M20" i="389"/>
  <c r="N19" i="389"/>
  <c r="M19" i="389"/>
  <c r="N18" i="389"/>
  <c r="M18" i="389"/>
  <c r="N17" i="389"/>
  <c r="M17" i="389"/>
  <c r="N16" i="389"/>
  <c r="M16" i="389"/>
  <c r="N15" i="389"/>
  <c r="M15" i="389"/>
  <c r="N14" i="389"/>
  <c r="M14" i="389"/>
  <c r="N13" i="389"/>
  <c r="M13" i="389"/>
  <c r="N12" i="389"/>
  <c r="M12" i="389"/>
  <c r="N11" i="389"/>
  <c r="M11" i="389"/>
  <c r="N10" i="389"/>
  <c r="M10" i="389"/>
  <c r="N9" i="389"/>
  <c r="M9" i="389"/>
  <c r="N8" i="389"/>
  <c r="M8" i="389"/>
  <c r="N7" i="389"/>
  <c r="M7" i="389"/>
  <c r="N6" i="389"/>
  <c r="M6" i="389"/>
  <c r="N5" i="389"/>
  <c r="M5" i="389"/>
  <c r="N4" i="389"/>
  <c r="M4" i="389"/>
  <c r="N3" i="389"/>
  <c r="M3" i="389"/>
  <c r="A1" i="389"/>
  <c r="A1" i="157"/>
  <c r="L9" i="224" a="1"/>
  <c r="L9" i="224" s="1"/>
  <c r="J11" i="224"/>
  <c r="J10" i="224"/>
  <c r="J9" i="224"/>
  <c r="B11" i="224"/>
  <c r="B10" i="224"/>
  <c r="D9" i="224" a="1"/>
  <c r="B9" i="224"/>
  <c r="B12" i="224" l="1"/>
  <c r="C12" i="224" s="1"/>
  <c r="E12" i="224" s="1"/>
  <c r="J12" i="224"/>
  <c r="K12" i="224" s="1"/>
  <c r="M12" i="224" s="1"/>
  <c r="K9" i="224"/>
  <c r="M9" i="224" s="1"/>
  <c r="K10" i="224"/>
  <c r="M10" i="224" s="1"/>
  <c r="C10" i="224"/>
  <c r="E10" i="224" s="1"/>
  <c r="C9" i="224"/>
  <c r="C11" i="224"/>
  <c r="E11" i="224" s="1"/>
  <c r="K11" i="224"/>
  <c r="M11" i="224" s="1"/>
  <c r="K6" i="224"/>
  <c r="C6" i="224"/>
  <c r="D9" i="224"/>
  <c r="B13" i="224" l="1"/>
  <c r="C13" i="224" s="1"/>
  <c r="E13" i="224" s="1"/>
  <c r="J13" i="224"/>
  <c r="K13" i="224" s="1"/>
  <c r="M13" i="224" s="1"/>
  <c r="E9" i="224"/>
  <c r="N9" i="224"/>
  <c r="N12" i="224"/>
  <c r="N11" i="224"/>
  <c r="N10" i="224"/>
  <c r="F9" i="224"/>
  <c r="F10" i="224"/>
  <c r="F12" i="224"/>
  <c r="F11" i="224"/>
  <c r="C6" i="193"/>
  <c r="N13" i="224" l="1"/>
  <c r="F13" i="224"/>
  <c r="B14" i="224"/>
  <c r="C14" i="224" s="1"/>
  <c r="J14" i="224"/>
  <c r="K14" i="224" s="1"/>
  <c r="C10" i="193"/>
  <c r="C9" i="193"/>
  <c r="C16" i="193"/>
  <c r="C11" i="193"/>
  <c r="C12" i="193"/>
  <c r="C14" i="193"/>
  <c r="F14" i="193" s="1"/>
  <c r="C15" i="193"/>
  <c r="C17" i="193"/>
  <c r="C18" i="193"/>
  <c r="F18" i="193" s="1"/>
  <c r="C13" i="193"/>
  <c r="F13" i="193" s="1"/>
  <c r="C19" i="193"/>
  <c r="C20" i="193"/>
  <c r="F20" i="193" s="1"/>
  <c r="B15" i="187"/>
  <c r="B14" i="187"/>
  <c r="B13" i="187"/>
  <c r="B12" i="187"/>
  <c r="B11" i="187"/>
  <c r="B10" i="187"/>
  <c r="B9" i="187"/>
  <c r="B29" i="185"/>
  <c r="B28" i="185"/>
  <c r="B27" i="185"/>
  <c r="B26" i="185"/>
  <c r="C26" i="185" s="1"/>
  <c r="B25" i="185"/>
  <c r="B24" i="185"/>
  <c r="B23" i="185"/>
  <c r="D16" i="4"/>
  <c r="D9" i="187" a="1"/>
  <c r="D9" i="187" s="1"/>
  <c r="B15" i="224" l="1"/>
  <c r="C15" i="224" s="1"/>
  <c r="J15" i="224"/>
  <c r="K15" i="224" s="1"/>
  <c r="E14" i="224"/>
  <c r="F14" i="224"/>
  <c r="M14" i="224"/>
  <c r="N14" i="224"/>
  <c r="C21" i="193"/>
  <c r="F10" i="193"/>
  <c r="F9" i="193"/>
  <c r="F16" i="193"/>
  <c r="F11" i="193"/>
  <c r="F17" i="193"/>
  <c r="F15" i="193"/>
  <c r="F12" i="193"/>
  <c r="F19" i="193"/>
  <c r="C24" i="185"/>
  <c r="C23" i="185"/>
  <c r="C9" i="187"/>
  <c r="C10" i="187"/>
  <c r="C25" i="185"/>
  <c r="C27" i="185"/>
  <c r="C28" i="185"/>
  <c r="C29" i="185"/>
  <c r="C12" i="187"/>
  <c r="C14" i="187"/>
  <c r="C15" i="187"/>
  <c r="C11" i="187"/>
  <c r="C13" i="187"/>
  <c r="C11" i="185"/>
  <c r="C13" i="185"/>
  <c r="G31" i="4"/>
  <c r="M15" i="224" l="1"/>
  <c r="N15" i="224"/>
  <c r="E15" i="224"/>
  <c r="F15" i="224"/>
  <c r="J16" i="224"/>
  <c r="K16" i="224" s="1"/>
  <c r="B16" i="224"/>
  <c r="C16" i="224" s="1"/>
  <c r="B30" i="185"/>
  <c r="C30" i="185" s="1"/>
  <c r="B16" i="187"/>
  <c r="C16" i="187" s="1"/>
  <c r="E16" i="187" s="1"/>
  <c r="E11" i="187"/>
  <c r="E12" i="187"/>
  <c r="C6" i="187"/>
  <c r="C6" i="185"/>
  <c r="C16" i="185"/>
  <c r="E9" i="187"/>
  <c r="E10" i="187"/>
  <c r="E13" i="187"/>
  <c r="E14" i="187"/>
  <c r="E15" i="187"/>
  <c r="C15" i="185"/>
  <c r="C20" i="185"/>
  <c r="C14" i="185"/>
  <c r="C17" i="185"/>
  <c r="C18" i="185"/>
  <c r="C12" i="185"/>
  <c r="C10" i="185"/>
  <c r="C9" i="185"/>
  <c r="C19" i="185"/>
  <c r="M16" i="224" l="1"/>
  <c r="N16" i="224"/>
  <c r="E16" i="224"/>
  <c r="F16" i="224"/>
  <c r="B17" i="224"/>
  <c r="C17" i="224" s="1"/>
  <c r="J17" i="224"/>
  <c r="K17" i="224" s="1"/>
  <c r="B31" i="185"/>
  <c r="C31" i="185" s="1"/>
  <c r="B17" i="187"/>
  <c r="C17" i="187" s="1"/>
  <c r="E17" i="187" s="1"/>
  <c r="F13" i="187"/>
  <c r="F14" i="187"/>
  <c r="F11" i="187"/>
  <c r="F12" i="187"/>
  <c r="F15" i="187"/>
  <c r="F16" i="187"/>
  <c r="F10" i="187"/>
  <c r="F9" i="187"/>
  <c r="F17" i="187" l="1"/>
  <c r="B18" i="224"/>
  <c r="C18" i="224" s="1"/>
  <c r="J18" i="224"/>
  <c r="K18" i="224" s="1"/>
  <c r="B32" i="185"/>
  <c r="C32" i="185" s="1"/>
  <c r="B18" i="187"/>
  <c r="C18" i="187" s="1"/>
  <c r="M17" i="224"/>
  <c r="N17" i="224"/>
  <c r="E17" i="224"/>
  <c r="F17" i="224"/>
  <c r="B19" i="224" l="1"/>
  <c r="C19" i="224" s="1"/>
  <c r="J19" i="224"/>
  <c r="K19" i="224" s="1"/>
  <c r="B33" i="185"/>
  <c r="C33" i="185" s="1"/>
  <c r="B19" i="187"/>
  <c r="C19" i="187" s="1"/>
  <c r="M18" i="224"/>
  <c r="N18" i="224"/>
  <c r="E18" i="187"/>
  <c r="F18" i="187"/>
  <c r="E18" i="224"/>
  <c r="F18" i="224"/>
  <c r="E19" i="187" l="1"/>
  <c r="F19" i="187"/>
  <c r="M19" i="224"/>
  <c r="N19" i="224"/>
  <c r="J20" i="224"/>
  <c r="K20" i="224" s="1"/>
  <c r="B20" i="224"/>
  <c r="C20" i="224" s="1"/>
  <c r="B34" i="185"/>
  <c r="C34" i="185" s="1"/>
  <c r="B20" i="187"/>
  <c r="C20" i="187" s="1"/>
  <c r="E19" i="224"/>
  <c r="F19" i="224"/>
  <c r="M20" i="224" l="1"/>
  <c r="N20" i="224"/>
  <c r="E20" i="187"/>
  <c r="F20" i="187"/>
  <c r="E20" i="224"/>
  <c r="F20" i="224"/>
  <c r="J21" i="224"/>
  <c r="K21" i="224" s="1"/>
  <c r="B21" i="224"/>
  <c r="C21" i="224" s="1"/>
  <c r="B35" i="185"/>
  <c r="C35" i="185" s="1"/>
  <c r="B21" i="187"/>
  <c r="C21" i="187" s="1"/>
  <c r="E21" i="224" l="1"/>
  <c r="F21" i="224"/>
  <c r="J22" i="224"/>
  <c r="K22" i="224" s="1"/>
  <c r="B22" i="224"/>
  <c r="C22" i="224" s="1"/>
  <c r="B22" i="187"/>
  <c r="C22" i="187" s="1"/>
  <c r="B36" i="185"/>
  <c r="C36" i="185" s="1"/>
  <c r="M21" i="224"/>
  <c r="N21" i="224"/>
  <c r="E21" i="187"/>
  <c r="F21" i="187"/>
  <c r="E22" i="224" l="1"/>
  <c r="E29" i="224" s="1"/>
  <c r="F22" i="224"/>
  <c r="J23" i="224"/>
  <c r="K23" i="224" s="1"/>
  <c r="B23" i="224"/>
  <c r="C23" i="224" s="1"/>
  <c r="B23" i="187"/>
  <c r="C23" i="187" s="1"/>
  <c r="B37" i="185"/>
  <c r="C37" i="185" s="1"/>
  <c r="E22" i="187"/>
  <c r="E29" i="187" s="1"/>
  <c r="F22" i="187"/>
  <c r="M22" i="224"/>
  <c r="M29" i="224" s="1"/>
  <c r="N22" i="224"/>
  <c r="E23" i="224" l="1"/>
  <c r="F23" i="224"/>
  <c r="B24" i="224"/>
  <c r="C24" i="224" s="1"/>
  <c r="J24" i="224"/>
  <c r="K24" i="224" s="1"/>
  <c r="B24" i="187"/>
  <c r="C24" i="187" s="1"/>
  <c r="B38" i="185"/>
  <c r="C38" i="185" s="1"/>
  <c r="E23" i="187"/>
  <c r="F23" i="187"/>
  <c r="M23" i="224"/>
  <c r="N23" i="224"/>
  <c r="E24" i="224" l="1"/>
  <c r="F24" i="224"/>
  <c r="E24" i="187"/>
  <c r="F24" i="187"/>
  <c r="M24" i="224"/>
  <c r="N24" i="224"/>
  <c r="B25" i="224"/>
  <c r="C25" i="224" s="1"/>
  <c r="J25" i="224"/>
  <c r="K25" i="224" s="1"/>
  <c r="B25" i="187"/>
  <c r="C25" i="187" s="1"/>
  <c r="B39" i="185"/>
  <c r="C39" i="185" s="1"/>
  <c r="M25" i="224" l="1"/>
  <c r="N25" i="224"/>
  <c r="E25" i="187"/>
  <c r="F25" i="187"/>
  <c r="E25" i="224"/>
  <c r="F25" i="224"/>
  <c r="B26" i="224"/>
  <c r="C26" i="224" s="1"/>
  <c r="J26" i="224"/>
  <c r="K26" i="224" s="1"/>
  <c r="B40" i="185"/>
  <c r="C40" i="185" s="1"/>
  <c r="B26" i="187"/>
  <c r="C26" i="187" s="1"/>
  <c r="M26" i="224" l="1"/>
  <c r="N26" i="224"/>
  <c r="E26" i="187"/>
  <c r="F26" i="187"/>
  <c r="E26" i="224"/>
  <c r="F26" i="224"/>
  <c r="B27" i="224"/>
  <c r="C27" i="224" s="1"/>
  <c r="J27" i="224"/>
  <c r="K27" i="224" s="1"/>
  <c r="B41" i="185"/>
  <c r="C41" i="185" s="1"/>
  <c r="B27" i="187"/>
  <c r="C27" i="187" s="1"/>
  <c r="E27" i="187" l="1"/>
  <c r="F27" i="187"/>
  <c r="M27" i="224"/>
  <c r="N27" i="224"/>
  <c r="E27" i="224"/>
  <c r="F27" i="224"/>
  <c r="B28" i="224"/>
  <c r="C28" i="224" s="1"/>
  <c r="J28" i="224"/>
  <c r="K28" i="224" s="1"/>
  <c r="B42" i="185"/>
  <c r="C42" i="185" s="1"/>
  <c r="B28" i="187"/>
  <c r="C28" i="187" s="1"/>
  <c r="D18" i="193"/>
  <c r="E18" i="193" s="1"/>
  <c r="D17" i="193"/>
  <c r="E17" i="193" s="1"/>
  <c r="D16" i="193"/>
  <c r="E16" i="193" s="1"/>
  <c r="D10" i="193"/>
  <c r="E10" i="193" s="1"/>
  <c r="D15" i="193"/>
  <c r="E15" i="193" s="1"/>
  <c r="D19" i="193"/>
  <c r="E19" i="193" s="1"/>
  <c r="D9" i="193"/>
  <c r="E9" i="193" s="1"/>
  <c r="D11" i="193"/>
  <c r="E11" i="193" s="1"/>
  <c r="D12" i="193"/>
  <c r="E12" i="193" s="1"/>
  <c r="D13" i="193"/>
  <c r="E13" i="193" s="1"/>
  <c r="D14" i="193"/>
  <c r="E14" i="193" s="1"/>
  <c r="D20" i="193"/>
  <c r="E20" i="193" s="1"/>
  <c r="E21" i="193" l="1"/>
  <c r="M28" i="224"/>
  <c r="N28" i="224"/>
  <c r="E28" i="187"/>
  <c r="F28" i="187"/>
  <c r="E28" i="224"/>
  <c r="F28" i="2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<sst xmlns="http://schemas.openxmlformats.org/spreadsheetml/2006/main" count="1267" uniqueCount="217">
  <si>
    <t>Location</t>
  </si>
  <si>
    <t>Description</t>
  </si>
  <si>
    <t>Amount</t>
  </si>
  <si>
    <t>Date</t>
  </si>
  <si>
    <t>Merchant Category</t>
  </si>
  <si>
    <t>Company's Description</t>
  </si>
  <si>
    <t>Category</t>
  </si>
  <si>
    <t>Company</t>
  </si>
  <si>
    <t>Name:</t>
  </si>
  <si>
    <t>Last Update File:</t>
  </si>
  <si>
    <t>Last Update:</t>
  </si>
  <si>
    <t>Trans No.</t>
  </si>
  <si>
    <t>Added Date</t>
  </si>
  <si>
    <t>Version</t>
  </si>
  <si>
    <t>Expense Tracking</t>
  </si>
  <si>
    <t>Source File</t>
  </si>
  <si>
    <t>Account</t>
  </si>
  <si>
    <t>Company Name</t>
  </si>
  <si>
    <t>Account Type</t>
  </si>
  <si>
    <t>Are Transactions Negative?</t>
  </si>
  <si>
    <t>Date Col</t>
  </si>
  <si>
    <t>Description Col</t>
  </si>
  <si>
    <t>Category Col</t>
  </si>
  <si>
    <t>First Transaction Row</t>
  </si>
  <si>
    <t>Are there multiple transaction columns?</t>
  </si>
  <si>
    <t>Amt Col</t>
  </si>
  <si>
    <t>Deposits Col</t>
  </si>
  <si>
    <t>Withdrawals Col</t>
  </si>
  <si>
    <t>Set up your budget here:</t>
  </si>
  <si>
    <t>Total budget:</t>
  </si>
  <si>
    <t>Total Expenses:</t>
  </si>
  <si>
    <t>January</t>
  </si>
  <si>
    <t>February</t>
  </si>
  <si>
    <t>March</t>
  </si>
  <si>
    <t>April</t>
  </si>
  <si>
    <t>May</t>
  </si>
  <si>
    <t>June</t>
  </si>
  <si>
    <t>July</t>
  </si>
  <si>
    <t>August</t>
  </si>
  <si>
    <t>September</t>
  </si>
  <si>
    <t>October</t>
  </si>
  <si>
    <t>November</t>
  </si>
  <si>
    <t>December</t>
  </si>
  <si>
    <t>Month</t>
  </si>
  <si>
    <t>Select Year:</t>
  </si>
  <si>
    <t>All</t>
  </si>
  <si>
    <t>Select Month:</t>
  </si>
  <si>
    <t>Monthly Expenses Dashboard</t>
  </si>
  <si>
    <t>Budget</t>
  </si>
  <si>
    <t>Amount Spent</t>
  </si>
  <si>
    <t>Total difference:</t>
  </si>
  <si>
    <t>Amount Difference</t>
  </si>
  <si>
    <t>% of Spending</t>
  </si>
  <si>
    <t>-</t>
  </si>
  <si>
    <t>Created by: Josh Petersheim (@joshpetersheim)</t>
  </si>
  <si>
    <t>Annual Expenses Dashboard</t>
  </si>
  <si>
    <t>Uncategorized Expenses:</t>
  </si>
  <si>
    <t>Month_List</t>
  </si>
  <si>
    <t>Year_List</t>
  </si>
  <si>
    <t>Category Expenses Dashboard</t>
  </si>
  <si>
    <t>Select Category:</t>
  </si>
  <si>
    <t>Cat_List</t>
  </si>
  <si>
    <t>Average:</t>
  </si>
  <si>
    <t>Amount (monthly)</t>
  </si>
  <si>
    <t>1. On the "Main Tab", start by entering your name. This will also populate your name at the top of the "Expense List".</t>
  </si>
  <si>
    <t>a. Navigate to your bank's / credit card company's website and log in to your account</t>
  </si>
  <si>
    <t>b. Look for "Recent Transactions" / "Account Activity"</t>
  </si>
  <si>
    <t>c. Look for an option to download the data as a .CSV (CSV) or .XLSX (Excel) file</t>
  </si>
  <si>
    <t>2. Download the files listing your transactions from your bank. Banks seem to be constantly changing their online interfaces, so I will provide very general directions.</t>
  </si>
  <si>
    <t>3. Open the file and try to understand it. Which row does the list start in? Which column is the date in? etc.</t>
  </si>
  <si>
    <t>4. Leave the transactions file open and navigate to the "Main Tab" in this workbook. Click on the "Setup Data Import" button.</t>
  </si>
  <si>
    <t>5. A pop-up with all current saved accounts will appear. If you are just starting, the list will be empty. Click "Add new" to add your new account. Another window will pop-up. Fill out each of the details relating to your transaction file. If your transactions file doesn't have a column for one the specified asks leave it blank. Click "Save" and the close the "Accounts" window</t>
  </si>
  <si>
    <t>6. Import your file. If you are doing only one account, you can enter it manually. If you want to import multiple files with different companies or accounts, you can use the auto-import feature. This feature detects the company name and account type in the filename of the selected files. As long as they are set up in your Accounts, it will automatically import those transaction files.</t>
  </si>
  <si>
    <t>Instructions: Importing</t>
  </si>
  <si>
    <t>Instructions: Categorizing</t>
  </si>
  <si>
    <t xml:space="preserve">7. Once data has been imported, you should see that the "Uncategorized Expenses" value has jumped up. </t>
  </si>
  <si>
    <t>Compare Monthly Expenses</t>
  </si>
  <si>
    <t>ExpBk_V1.0_51035</t>
  </si>
  <si>
    <t>Year</t>
  </si>
  <si>
    <t>Dog</t>
  </si>
  <si>
    <t>8. The next step is to open the Categorizing Form for the Expense List. Click the "Categorize Expenses" button. The form should pop up.</t>
  </si>
  <si>
    <t>9. As the form opens, the current "Expense List" is backed up. In the Categorizing Form you will see a list of all expenses that are pulled from the Expense List sheet. You can select any item(s) in this list to categorize. Once you select an item, you can change the details by editing the information on the left hand side of the form and then selecting the "Categorize Selected" button</t>
  </si>
  <si>
    <t xml:space="preserve">10. Categorize each item. It is easiest  to search for and categorize large chunks of your expenses at a time (i.e. Sunoco, Verizon, Rent) </t>
  </si>
  <si>
    <t>11. As changes are made, the actual sheet will be updated. Closing the form with the top-right "X" or the "Revert" removes all changes.</t>
  </si>
  <si>
    <t>12. If you hit "Save &amp; Close" the back-up sheet is updated and the "Expense List" sheet is left with your changes. The list of Categories will update to reflect and categories you added to the "Expense List". At this point, you should update the amounts for each of your budget items with your estimated spend. As you view the dashboards you can reflect and change these values.</t>
  </si>
  <si>
    <t>13. View the dashboards on any of their respective sheets. If you change the year, month, or category on each sheet  you should see the amounts spent for that period and the liust of transactions for that period.</t>
  </si>
  <si>
    <t>https://github.com/jpetersheim/expense-book</t>
  </si>
  <si>
    <t>Thanks for trying out my project! Please reach out to me on twitter (@joshpetersheim) or find the project on Github to leave feedback or requests. Any feedback is welcome.</t>
  </si>
  <si>
    <t>Ally_Checking_activity.xlsx</t>
  </si>
  <si>
    <t>GOOGLE *YOUTUBE TV  855-836-3987        CA</t>
  </si>
  <si>
    <t>N/A</t>
  </si>
  <si>
    <t>Ally Checking</t>
  </si>
  <si>
    <t>LOWE'S              APEX                NC</t>
  </si>
  <si>
    <t>T J MAXX            APEX                NC</t>
  </si>
  <si>
    <t>AT&amp;T   *PAYMENT     800-288-2020        TX</t>
  </si>
  <si>
    <t>SHEETZ 2623   026237NASHVILLE           NC</t>
  </si>
  <si>
    <t>WEGMANS WEST CARY 13MORRISVILLE         NC</t>
  </si>
  <si>
    <t>THE HOME DEPOT #3615CARY                NC</t>
  </si>
  <si>
    <t>LIDL #1416          FREDERICKSBUR       NC</t>
  </si>
  <si>
    <t>TARGET              HOLLY SPRINGS       NC</t>
  </si>
  <si>
    <t>EAGLES 13 6500000112APEX                NC</t>
  </si>
  <si>
    <t>EXXONMOBIL 4766     RICHMOND            VA</t>
  </si>
  <si>
    <t>RUDYS PUB * RUDYS PUAPEX                NC</t>
  </si>
  <si>
    <t>WAWA 8652 0000000004ASHLAND             VA</t>
  </si>
  <si>
    <t>WAWA FUEL/CONVENIENCGILBERTSVILLE       PA</t>
  </si>
  <si>
    <t>CBS ALL ACCESS      SAN FRANCISCO       CA</t>
  </si>
  <si>
    <t>Interest Charge on Purchases</t>
  </si>
  <si>
    <t>SPOTIFY USA         NEW YORK</t>
  </si>
  <si>
    <t>WAWA FUEL/CONVENIENCNORTH WALES         PA</t>
  </si>
  <si>
    <t>DOGS &amp; CATS RULE - BBLUE BELL           PA</t>
  </si>
  <si>
    <t>WHOLEFDS SPG#10599 0SPRINGHOUSE         PA</t>
  </si>
  <si>
    <t>DOG KINGDOM 0000    LANSDALE            PA</t>
  </si>
  <si>
    <t>LATE FEE</t>
  </si>
  <si>
    <t>ACTTWNAPEXPR&amp;CULTRESAPEX                NC</t>
  </si>
  <si>
    <t>GREATER PHILADELPHIAAMBLER              PA</t>
  </si>
  <si>
    <t>WAWA FUEL/CONVENIENCKIDDER TWSP         PA</t>
  </si>
  <si>
    <t>GIANT FOOD          SPRING HOUSE        PA</t>
  </si>
  <si>
    <t>WEGMANS MNTGMRYVLE #NORTH WALES         PA</t>
  </si>
  <si>
    <t>SP * EBRU COFFEE    WYOMISSING          PA</t>
  </si>
  <si>
    <t>WAWA FUEL/CONVENIENCROYERSFORD          PA</t>
  </si>
  <si>
    <t>SHELL OIL 1000038601AMBLER              PA</t>
  </si>
  <si>
    <t>PHILADELPHIA RUNNER PHILADELPHIA        PA</t>
  </si>
  <si>
    <t>WAWA FUEL/CONVENIENCBLUE BELL           PA</t>
  </si>
  <si>
    <t>WAL-MART SUPERCENTERHATFIELD            PA</t>
  </si>
  <si>
    <t>HOME CHEF           CHICAGO             IL</t>
  </si>
  <si>
    <t>SUNOCO 0363004304 03NORTH WALES         PA</t>
  </si>
  <si>
    <t>MADDEN ANIMAL HOSPITAMBLER              PA</t>
  </si>
  <si>
    <t>WEGMANS MONTGOMERYVINORTH WALES         PA</t>
  </si>
  <si>
    <t>GOOGLE*YOUTUBE TV GO G.CO HELPPAY#</t>
  </si>
  <si>
    <t>SUNOCO 0012149112 00BLUE BELL           PA</t>
  </si>
  <si>
    <t>WAWA FUEL/CONVENIENCPLYMOUTH MEETING    PA</t>
  </si>
  <si>
    <t>DETTERA 021770021461AMBLER              PA</t>
  </si>
  <si>
    <t>WAWA 8101 0000000005MONTGOMERYVILLE     PA</t>
  </si>
  <si>
    <t>PAYPAL *AUSTRALIAN  9092143358          CA</t>
  </si>
  <si>
    <t>PETSMART # 0560 0000MONTGOMERY TO       PA</t>
  </si>
  <si>
    <t>SUNOCO 0042306102 00CLIFTON SPRIN       NY</t>
  </si>
  <si>
    <t>MIRABITO # 36 - FRONBINGHAMTON          NY</t>
  </si>
  <si>
    <t>SUNOCO 0961075903 09PLYMOUTH MEET       PA</t>
  </si>
  <si>
    <t>GIANT FOOD          PLYMOUTH MEETING    PA</t>
  </si>
  <si>
    <t>SP * INSTANT POT    OTTAWA</t>
  </si>
  <si>
    <t>Chase_Credit_6141_Activity20210101_20210427_20210427.CSV</t>
  </si>
  <si>
    <t>COUNTRY INN AND SUITES WI</t>
  </si>
  <si>
    <t>Chase Credit</t>
  </si>
  <si>
    <t>VZWRLSS*PRPAY AUTOPAY</t>
  </si>
  <si>
    <t>AMZN Mktp US*NE00C9GP3</t>
  </si>
  <si>
    <t>COSTCO WHSE #1206</t>
  </si>
  <si>
    <t>APPLE.COM/BILL</t>
  </si>
  <si>
    <t>HOTELSCOM9186177514766</t>
  </si>
  <si>
    <t>BONEFISH 9404</t>
  </si>
  <si>
    <t>PAYPAL *SELLINGTREA EBAY</t>
  </si>
  <si>
    <t>AMZN Mktp US*PA8Z80ZG3</t>
  </si>
  <si>
    <t>7-ELEVEN 40024</t>
  </si>
  <si>
    <t>U HAUL STORE 0081283</t>
  </si>
  <si>
    <t>USPS CHANGE OF ADDRESS</t>
  </si>
  <si>
    <t>D J*WALL-ST-JOURNAL</t>
  </si>
  <si>
    <t>WHOLEFDS SPG#10599</t>
  </si>
  <si>
    <t>TST* COYOTE CROSSING REST</t>
  </si>
  <si>
    <t>THE INN AT TURKEY HILL</t>
  </si>
  <si>
    <t>WWW COSTCO COM</t>
  </si>
  <si>
    <t>LOWES #01669*</t>
  </si>
  <si>
    <t>WINE AND SPIRITS 4632</t>
  </si>
  <si>
    <t>CHIPOTLE ONLINE</t>
  </si>
  <si>
    <t>PAYPAL *MADISONSEAT EBAY</t>
  </si>
  <si>
    <t>IRON HILL BREWERY:CHESTN</t>
  </si>
  <si>
    <t>WENDY'S #3098</t>
  </si>
  <si>
    <t>Amazon.com*LS5CP8MH3</t>
  </si>
  <si>
    <t>CVS/PHARMACY #10493</t>
  </si>
  <si>
    <t>SQ *JULES THIN CRUST NORT</t>
  </si>
  <si>
    <t>SWEETBRIAR ICE CREAM &amp;amp; C</t>
  </si>
  <si>
    <t>COSTCO WHSE #0248</t>
  </si>
  <si>
    <t>CRAFT MANAYUNK</t>
  </si>
  <si>
    <t>KESSLER FAMILY DENTISTRY</t>
  </si>
  <si>
    <t>WAL-MART #2445</t>
  </si>
  <si>
    <t>FRG*NBASTORE.COM</t>
  </si>
  <si>
    <t>AMZN Mktp US*TA5P56TM3</t>
  </si>
  <si>
    <t>AMZN Mktp US*CL9VM7FC3</t>
  </si>
  <si>
    <t>WP 53 CAFE    19162957</t>
  </si>
  <si>
    <t>WASABI SUSHI TOGO</t>
  </si>
  <si>
    <t>BOD.COM* BLUE CAST  C</t>
  </si>
  <si>
    <t>STOVE &amp;amp; TAP</t>
  </si>
  <si>
    <t>AMZN Mktp US*TW5N50VQ3</t>
  </si>
  <si>
    <t>AMZN Mktp US*PC8HQ5343</t>
  </si>
  <si>
    <t>TU SMARTMOVE</t>
  </si>
  <si>
    <t>WAWA 8071     00080713</t>
  </si>
  <si>
    <t>DUNKIN #343349 Q35</t>
  </si>
  <si>
    <t>MICRO CENTER SAINT DAVIDS</t>
  </si>
  <si>
    <t>AMBLER BEVERAGE EXCHANGE</t>
  </si>
  <si>
    <t>JL FREED HONDA</t>
  </si>
  <si>
    <t>Steam Purchase</t>
  </si>
  <si>
    <t>PETS BEST INSURANCE SERV</t>
  </si>
  <si>
    <t>XL SPORTS WORLD - HATFIE</t>
  </si>
  <si>
    <t>PROGRESSIVE *INSURANCE</t>
  </si>
  <si>
    <t>WAWA 8101     00081018</t>
  </si>
  <si>
    <t>PIZZA TIME SALOON</t>
  </si>
  <si>
    <t>BESTBUYCOM806420016320</t>
  </si>
  <si>
    <t>TST* GYPSY BLUE</t>
  </si>
  <si>
    <t>STEAMGAMES.COM 4259522985</t>
  </si>
  <si>
    <t>SPRING HOUSE TAVERN</t>
  </si>
  <si>
    <t>Lansdale Eye Associates</t>
  </si>
  <si>
    <t>GULF OIL 92052165</t>
  </si>
  <si>
    <t>THE FIRESIDE GRILLE</t>
  </si>
  <si>
    <t>PAYPAL *FANTASYMATH</t>
  </si>
  <si>
    <t>BARNES &amp;amp; NOBLE #2976</t>
  </si>
  <si>
    <t>BEST BUY MHT  00005256</t>
  </si>
  <si>
    <t>Utilities</t>
  </si>
  <si>
    <t/>
  </si>
  <si>
    <t>Groceries</t>
  </si>
  <si>
    <t>Restaurant</t>
  </si>
  <si>
    <t>Gas</t>
  </si>
  <si>
    <t>Home Improvement</t>
  </si>
  <si>
    <t>Health</t>
  </si>
  <si>
    <t>Alcohol</t>
  </si>
  <si>
    <t>Fees</t>
  </si>
  <si>
    <t>Travel</t>
  </si>
  <si>
    <t>Moving Expense</t>
  </si>
  <si>
    <t>Josh Shopping</t>
  </si>
  <si>
    <t>Car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</si>
</sst>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164" formatCode="0.0"/>
    <numFmt numFmtId="165" formatCode="dd\-mmm\-yyyy"/>
    <numFmt numFmtId="166" formatCode="[$-409]d\-mmm\-yyyy;@"/>
  </numFmts>
  <fonts count="14" x14ac:knownFonts="1">
    <font>
      <sz val="11"/>
      <color theme="1"/>
      <name val="Calibri"/>
      <family val="2"/>
      <scheme val="minor"/>
    </font>
    <font>
      <sz val="11"/>
      <color theme="1"/>
      <name val="Calibri"/>
      <family val="2"/>
      <scheme val="minor"/>
    </font>
    <font>
      <sz val="11"/>
      <color theme="0"/>
      <name val="Calibri"/>
      <family val="2"/>
      <scheme val="minor"/>
    </font>
    <font>
      <sz val="28"/>
      <color theme="0"/>
      <name val="Calibri"/>
      <family val="2"/>
      <scheme val="minor"/>
    </font>
    <font>
      <sz val="11"/>
      <color rgb="FF000000"/>
      <name val="Calibri"/>
      <family val="2"/>
    </font>
    <font>
      <b/>
      <sz val="11"/>
      <color theme="0"/>
      <name val="Calibri"/>
      <family val="2"/>
      <scheme val="minor"/>
    </font>
    <font>
      <b/>
      <sz val="11"/>
      <color theme="1"/>
      <name val="Calibri"/>
      <family val="2"/>
      <scheme val="minor"/>
    </font>
    <font>
      <sz val="18"/>
      <color theme="1"/>
      <name val="Calibri"/>
      <family val="2"/>
      <scheme val="minor"/>
    </font>
    <font>
      <sz val="8"/>
      <name val="Calibri"/>
      <family val="2"/>
      <scheme val="minor"/>
    </font>
    <font>
      <sz val="10"/>
      <color rgb="FF000000"/>
      <name val="Calibri"/>
      <family val="2"/>
    </font>
    <font>
      <b/>
      <sz val="11"/>
      <name val="Calibri"/>
      <family val="2"/>
      <scheme val="minor"/>
    </font>
    <font>
      <b/>
      <sz val="11"/>
      <color rgb="FFFF0000"/>
      <name val="Calibri"/>
      <family val="2"/>
      <scheme val="minor"/>
    </font>
    <font>
      <b/>
      <sz val="16"/>
      <color theme="1"/>
      <name val="Calibri"/>
      <family val="2"/>
      <scheme val="minor"/>
    </font>
    <font>
      <u/>
      <sz val="11"/>
      <color theme="10"/>
      <name val="Calibri"/>
      <family val="2"/>
      <scheme val="minor"/>
    </font>
  </fonts>
  <fills count="7">
    <fill>
      <patternFill patternType="none"/>
    </fill>
    <fill>
      <patternFill patternType="gray125"/>
    </fill>
    <fill>
      <patternFill patternType="solid">
        <fgColor theme="0" tint="-0.249977111117893"/>
        <bgColor indexed="64"/>
      </patternFill>
    </fill>
    <fill>
      <patternFill patternType="solid">
        <fgColor rgb="FF37812B"/>
        <bgColor indexed="64"/>
      </patternFill>
    </fill>
    <fill>
      <patternFill patternType="solid">
        <fgColor theme="2" tint="-0.249977111117893"/>
        <bgColor indexed="64"/>
      </patternFill>
    </fill>
    <fill>
      <patternFill patternType="solid">
        <fgColor theme="9"/>
        <bgColor theme="9"/>
      </patternFill>
    </fill>
    <fill>
      <patternFill patternType="solid">
        <fgColor theme="2" tint="-9.9978637043366805E-2"/>
        <bgColor indexed="64"/>
      </patternFill>
    </fill>
  </fills>
  <borders count="39">
    <border>
      <left/>
      <right/>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right style="thin">
        <color theme="0"/>
      </right>
      <top/>
      <bottom/>
      <diagonal/>
    </border>
    <border>
      <left/>
      <right/>
      <top style="thin">
        <color indexed="64"/>
      </top>
      <bottom style="thin">
        <color theme="0"/>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n">
        <color indexed="64"/>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13" fillId="0" borderId="0" applyNumberFormat="0" applyFill="0" applyBorder="0" applyAlignment="0" applyProtection="0"/>
  </cellStyleXfs>
  <cellXfs count="101">
    <xf numFmtId="0" fontId="0" fillId="0" borderId="0" xfId="0"/>
    <xf numFmtId="164" fontId="0" fillId="0" borderId="0" xfId="0" applyNumberFormat="1"/>
    <xf numFmtId="44" fontId="0" fillId="0" borderId="0" xfId="1" applyFont="1"/>
    <xf numFmtId="0" fontId="0" fillId="3" borderId="0" xfId="0" applyFill="1" applyBorder="1"/>
    <xf numFmtId="0" fontId="3" fillId="3" borderId="0" xfId="0" applyFont="1" applyFill="1" applyBorder="1"/>
    <xf numFmtId="0" fontId="2" fillId="3" borderId="0" xfId="0" applyFont="1" applyFill="1" applyBorder="1" applyAlignment="1">
      <alignment horizontal="right"/>
    </xf>
    <xf numFmtId="164" fontId="2" fillId="3" borderId="0" xfId="0" applyNumberFormat="1" applyFont="1" applyFill="1" applyBorder="1" applyAlignment="1">
      <alignment horizontal="left"/>
    </xf>
    <xf numFmtId="0" fontId="0" fillId="3" borderId="7" xfId="0" applyFill="1" applyBorder="1"/>
    <xf numFmtId="0" fontId="2" fillId="3" borderId="5" xfId="0" applyFont="1" applyFill="1" applyBorder="1"/>
    <xf numFmtId="44" fontId="2" fillId="3" borderId="1" xfId="1" applyFont="1" applyFill="1" applyBorder="1" applyAlignment="1">
      <alignment horizontal="center"/>
    </xf>
    <xf numFmtId="0" fontId="2" fillId="3" borderId="1" xfId="0" applyFont="1" applyFill="1" applyBorder="1" applyAlignment="1">
      <alignment horizontal="center"/>
    </xf>
    <xf numFmtId="0" fontId="2" fillId="3" borderId="6" xfId="0" applyFont="1" applyFill="1" applyBorder="1" applyAlignment="1">
      <alignment horizontal="center"/>
    </xf>
    <xf numFmtId="165" fontId="2" fillId="3" borderId="1" xfId="0" applyNumberFormat="1" applyFont="1" applyFill="1" applyBorder="1" applyAlignment="1">
      <alignment horizontal="center"/>
    </xf>
    <xf numFmtId="165" fontId="0" fillId="0" borderId="0" xfId="0" applyNumberFormat="1" applyAlignment="1">
      <alignment horizontal="left"/>
    </xf>
    <xf numFmtId="0" fontId="0" fillId="0" borderId="8" xfId="0" applyBorder="1"/>
    <xf numFmtId="0" fontId="0" fillId="0" borderId="5" xfId="0" applyBorder="1"/>
    <xf numFmtId="0" fontId="0" fillId="0" borderId="10" xfId="0" applyBorder="1"/>
    <xf numFmtId="0" fontId="5" fillId="3" borderId="12" xfId="0" applyFont="1" applyFill="1" applyBorder="1" applyAlignment="1">
      <alignment horizontal="center"/>
    </xf>
    <xf numFmtId="0" fontId="5" fillId="3" borderId="13" xfId="0" applyFont="1" applyFill="1" applyBorder="1" applyAlignment="1">
      <alignment horizontal="center"/>
    </xf>
    <xf numFmtId="44" fontId="0" fillId="0" borderId="11" xfId="1" applyFont="1" applyBorder="1"/>
    <xf numFmtId="44" fontId="0" fillId="0" borderId="9" xfId="1" applyFont="1" applyBorder="1"/>
    <xf numFmtId="44" fontId="0" fillId="0" borderId="6" xfId="1" applyFont="1" applyBorder="1"/>
    <xf numFmtId="0" fontId="0" fillId="0" borderId="15" xfId="0" applyBorder="1"/>
    <xf numFmtId="44" fontId="0" fillId="0" borderId="16" xfId="1" applyFont="1" applyBorder="1"/>
    <xf numFmtId="0" fontId="6" fillId="0" borderId="17" xfId="0" applyFont="1" applyBorder="1"/>
    <xf numFmtId="44" fontId="0" fillId="0" borderId="18" xfId="1" applyFont="1" applyBorder="1"/>
    <xf numFmtId="0" fontId="0" fillId="0" borderId="0" xfId="0" pivotButton="1"/>
    <xf numFmtId="0" fontId="0" fillId="0" borderId="0" xfId="0" applyAlignment="1">
      <alignment horizontal="left"/>
    </xf>
    <xf numFmtId="0" fontId="2" fillId="3" borderId="19" xfId="0" applyFont="1" applyFill="1" applyBorder="1" applyAlignment="1">
      <alignment horizontal="center"/>
    </xf>
    <xf numFmtId="0" fontId="2" fillId="3" borderId="0" xfId="0" applyFont="1" applyFill="1" applyBorder="1" applyAlignment="1">
      <alignment horizontal="center"/>
    </xf>
    <xf numFmtId="44" fontId="7" fillId="0" borderId="21" xfId="1" applyFont="1" applyBorder="1"/>
    <xf numFmtId="0" fontId="0" fillId="0" borderId="2" xfId="0" applyBorder="1"/>
    <xf numFmtId="44" fontId="0" fillId="0" borderId="4" xfId="1" applyFont="1" applyBorder="1"/>
    <xf numFmtId="0" fontId="7" fillId="0" borderId="20" xfId="0" applyFont="1" applyBorder="1" applyAlignment="1"/>
    <xf numFmtId="7" fontId="0" fillId="0" borderId="0" xfId="1" applyNumberFormat="1" applyFont="1"/>
    <xf numFmtId="44" fontId="0" fillId="0" borderId="14" xfId="1" applyFont="1" applyBorder="1"/>
    <xf numFmtId="0" fontId="6" fillId="0" borderId="0" xfId="0" applyFont="1"/>
    <xf numFmtId="44" fontId="6" fillId="0" borderId="18" xfId="0" applyNumberFormat="1" applyFont="1" applyBorder="1"/>
    <xf numFmtId="9" fontId="0" fillId="0" borderId="9" xfId="2" applyFont="1" applyBorder="1"/>
    <xf numFmtId="44" fontId="0" fillId="0" borderId="1" xfId="1" applyFont="1" applyBorder="1"/>
    <xf numFmtId="9" fontId="0" fillId="0" borderId="6" xfId="2" applyFont="1" applyBorder="1"/>
    <xf numFmtId="44" fontId="0" fillId="0" borderId="23" xfId="1" applyFont="1" applyBorder="1"/>
    <xf numFmtId="44" fontId="0" fillId="4" borderId="14" xfId="0" applyNumberFormat="1" applyFill="1" applyBorder="1"/>
    <xf numFmtId="44" fontId="0" fillId="4" borderId="1" xfId="0" applyNumberFormat="1" applyFill="1" applyBorder="1"/>
    <xf numFmtId="0" fontId="5" fillId="3" borderId="0" xfId="0" applyFont="1" applyFill="1" applyBorder="1" applyAlignment="1">
      <alignment horizontal="right"/>
    </xf>
    <xf numFmtId="0" fontId="0" fillId="0" borderId="25" xfId="0" applyBorder="1"/>
    <xf numFmtId="0" fontId="0" fillId="0" borderId="26" xfId="0" applyBorder="1"/>
    <xf numFmtId="0" fontId="0" fillId="3" borderId="27" xfId="0" applyFill="1" applyBorder="1"/>
    <xf numFmtId="0" fontId="5" fillId="3" borderId="25" xfId="0" applyFont="1" applyFill="1" applyBorder="1" applyAlignment="1">
      <alignment horizontal="right"/>
    </xf>
    <xf numFmtId="0" fontId="5" fillId="3" borderId="28" xfId="0" applyFont="1" applyFill="1" applyBorder="1" applyAlignment="1">
      <alignment horizontal="center" vertical="center"/>
    </xf>
    <xf numFmtId="0" fontId="5" fillId="3" borderId="29" xfId="0" applyFont="1" applyFill="1" applyBorder="1" applyAlignment="1">
      <alignment horizontal="center" vertical="center"/>
    </xf>
    <xf numFmtId="166" fontId="2" fillId="3" borderId="1" xfId="0" applyNumberFormat="1" applyFont="1" applyFill="1" applyBorder="1"/>
    <xf numFmtId="166" fontId="0" fillId="0" borderId="0" xfId="0" applyNumberFormat="1" applyBorder="1"/>
    <xf numFmtId="0" fontId="6" fillId="0" borderId="0" xfId="0" applyFont="1" applyAlignment="1">
      <alignment wrapText="1"/>
    </xf>
    <xf numFmtId="15" fontId="0" fillId="0" borderId="0" xfId="0" applyNumberFormat="1"/>
    <xf numFmtId="7" fontId="0" fillId="0" borderId="0" xfId="0" applyNumberFormat="1"/>
    <xf numFmtId="44" fontId="6" fillId="0" borderId="0" xfId="1" applyFont="1"/>
    <xf numFmtId="0" fontId="5" fillId="3" borderId="20" xfId="0" applyFont="1" applyFill="1" applyBorder="1" applyAlignment="1">
      <alignment horizontal="center"/>
    </xf>
    <xf numFmtId="0" fontId="5" fillId="3" borderId="22" xfId="0" applyFont="1" applyFill="1" applyBorder="1" applyAlignment="1">
      <alignment horizontal="center"/>
    </xf>
    <xf numFmtId="0" fontId="5" fillId="3" borderId="21" xfId="0" applyFont="1" applyFill="1" applyBorder="1" applyAlignment="1">
      <alignment horizontal="center"/>
    </xf>
    <xf numFmtId="0" fontId="5" fillId="5" borderId="30" xfId="0" applyFont="1" applyFill="1" applyBorder="1"/>
    <xf numFmtId="44" fontId="5" fillId="5" borderId="31" xfId="1" applyNumberFormat="1" applyFont="1" applyFill="1" applyBorder="1"/>
    <xf numFmtId="0" fontId="5" fillId="5" borderId="31" xfId="0" applyFont="1" applyFill="1" applyBorder="1" applyAlignment="1">
      <alignment wrapText="1"/>
    </xf>
    <xf numFmtId="0" fontId="5" fillId="5" borderId="31" xfId="0" applyFont="1" applyFill="1" applyBorder="1"/>
    <xf numFmtId="0" fontId="5" fillId="5" borderId="32" xfId="0" applyFont="1" applyFill="1" applyBorder="1"/>
    <xf numFmtId="0" fontId="10" fillId="0" borderId="0" xfId="0" applyFont="1" applyAlignment="1">
      <alignment horizontal="right"/>
    </xf>
    <xf numFmtId="0" fontId="11" fillId="0" borderId="14" xfId="0" applyFont="1" applyBorder="1" applyAlignment="1">
      <alignment horizontal="center"/>
    </xf>
    <xf numFmtId="0" fontId="0" fillId="0" borderId="33" xfId="0" applyBorder="1"/>
    <xf numFmtId="0" fontId="0" fillId="0" borderId="34" xfId="0" applyBorder="1"/>
    <xf numFmtId="0" fontId="0" fillId="0" borderId="35" xfId="0" applyBorder="1"/>
    <xf numFmtId="0" fontId="5" fillId="3" borderId="7" xfId="0" applyFont="1" applyFill="1" applyBorder="1" applyAlignment="1">
      <alignment horizontal="right"/>
    </xf>
    <xf numFmtId="0" fontId="0" fillId="0" borderId="0" xfId="0" quotePrefix="1"/>
    <xf numFmtId="44" fontId="0" fillId="0" borderId="3" xfId="1" applyFont="1" applyBorder="1"/>
    <xf numFmtId="44" fontId="0" fillId="4" borderId="3" xfId="0" applyNumberFormat="1" applyFill="1" applyBorder="1"/>
    <xf numFmtId="9" fontId="0" fillId="0" borderId="4" xfId="2" applyFont="1" applyBorder="1"/>
    <xf numFmtId="44" fontId="0" fillId="0" borderId="24" xfId="1" applyFont="1" applyBorder="1"/>
    <xf numFmtId="0" fontId="5" fillId="3" borderId="36" xfId="0" applyFont="1" applyFill="1" applyBorder="1" applyAlignment="1">
      <alignment horizontal="center"/>
    </xf>
    <xf numFmtId="0" fontId="5" fillId="3" borderId="37" xfId="0" applyFont="1" applyFill="1" applyBorder="1" applyAlignment="1">
      <alignment horizontal="center"/>
    </xf>
    <xf numFmtId="0" fontId="5" fillId="3" borderId="38" xfId="0" applyFont="1" applyFill="1" applyBorder="1" applyAlignment="1">
      <alignment horizontal="center"/>
    </xf>
    <xf numFmtId="9" fontId="0" fillId="0" borderId="0" xfId="2" applyFont="1" applyFill="1" applyBorder="1"/>
    <xf numFmtId="0" fontId="6" fillId="0" borderId="17" xfId="0" applyFont="1" applyFill="1" applyBorder="1"/>
    <xf numFmtId="44" fontId="0" fillId="0" borderId="18" xfId="1" applyFont="1" applyFill="1" applyBorder="1"/>
    <xf numFmtId="0" fontId="0" fillId="0" borderId="0" xfId="0" applyAlignment="1">
      <alignment wrapText="1"/>
    </xf>
    <xf numFmtId="0" fontId="0" fillId="0" borderId="0" xfId="0" applyAlignment="1">
      <alignment vertical="top" wrapText="1"/>
    </xf>
    <xf numFmtId="0" fontId="13" fillId="0" borderId="0" xfId="3"/>
    <xf numFmtId="0" fontId="0" fillId="6" borderId="0" xfId="0" applyFill="1"/>
    <xf numFmtId="0" fontId="0" fillId="0" borderId="0" xfId="0" applyAlignment="1">
      <alignment horizontal="left" vertical="top" wrapText="1"/>
    </xf>
    <xf numFmtId="0" fontId="6" fillId="0" borderId="0" xfId="0" applyFont="1" applyAlignment="1">
      <alignment horizontal="left" vertical="top" wrapText="1"/>
    </xf>
    <xf numFmtId="0" fontId="0" fillId="0" borderId="0" xfId="0" applyAlignment="1">
      <alignment horizontal="left" wrapText="1"/>
    </xf>
    <xf numFmtId="0" fontId="0" fillId="0" borderId="0" xfId="0" applyAlignment="1">
      <alignment wrapText="1"/>
    </xf>
    <xf numFmtId="0" fontId="12" fillId="0" borderId="7" xfId="0" applyFont="1" applyBorder="1" applyAlignment="1">
      <alignment horizontal="center"/>
    </xf>
    <xf numFmtId="0" fontId="3" fillId="3" borderId="0" xfId="0" applyFont="1" applyFill="1" applyBorder="1" applyAlignment="1">
      <alignment horizontal="left"/>
    </xf>
    <xf numFmtId="0" fontId="0" fillId="0" borderId="2" xfId="0" applyBorder="1" applyAlignment="1">
      <alignment horizontal="center"/>
    </xf>
    <xf numFmtId="0" fontId="0" fillId="0" borderId="4" xfId="0" applyBorder="1" applyAlignment="1">
      <alignment horizontal="center"/>
    </xf>
    <xf numFmtId="22" fontId="0" fillId="2" borderId="8" xfId="0" applyNumberFormat="1" applyFill="1" applyBorder="1" applyAlignment="1">
      <alignment horizontal="center"/>
    </xf>
    <xf numFmtId="22" fontId="0" fillId="2" borderId="9" xfId="0" applyNumberFormat="1" applyFill="1" applyBorder="1" applyAlignment="1">
      <alignment horizontal="center"/>
    </xf>
    <xf numFmtId="0" fontId="0" fillId="2" borderId="5" xfId="0" applyFill="1" applyBorder="1" applyAlignment="1">
      <alignment horizontal="center"/>
    </xf>
    <xf numFmtId="0" fontId="0" fillId="2" borderId="6" xfId="0" applyFill="1" applyBorder="1" applyAlignment="1">
      <alignment horizontal="center"/>
    </xf>
    <xf numFmtId="0" fontId="2" fillId="3" borderId="2" xfId="0" applyFont="1" applyFill="1" applyBorder="1" applyAlignment="1">
      <alignment horizontal="center"/>
    </xf>
    <xf numFmtId="0" fontId="2" fillId="3" borderId="3" xfId="0" applyFont="1" applyFill="1" applyBorder="1" applyAlignment="1">
      <alignment horizontal="center"/>
    </xf>
    <xf numFmtId="0" fontId="2" fillId="3" borderId="4" xfId="0" applyFont="1" applyFill="1" applyBorder="1" applyAlignment="1">
      <alignment horizontal="center"/>
    </xf>
  </cellXfs>
  <cellStyles count="4">
    <cellStyle name="Currency" xfId="1" builtinId="4"/>
    <cellStyle name="Hyperlink" xfId="3" builtinId="8"/>
    <cellStyle name="Normal" xfId="0" builtinId="0"/>
    <cellStyle name="Percent" xfId="2" builtinId="5"/>
  </cellStyles>
  <dxfs count="7">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color rgb="FFFF0000"/>
      </font>
    </dxf>
    <dxf>
      <font>
        <color rgb="FF006600"/>
      </font>
    </dxf>
  </dxfs>
  <tableStyles count="0" defaultTableStyle="TableStyleMedium2" defaultPivotStyle="PivotStyleLight16"/>
  <colors>
    <mruColors>
      <color rgb="FF006600"/>
      <color rgb="FF37812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multiLvlStrRef>
              <c:f>'Monthly Dashboard'!$B$9:$B$21</c:f>
            </c:multiLvlStrRef>
          </c:cat>
          <c:val>
            <c:numRef>
              <c:f>'Monthly Dashboard'!$C$9:$C$21</c:f>
              <c:numCache>
                <c:formatCode>_("$"* #,##0.00_);_("$"* \(#,##0.00\);_("$"* "-"??_);_(@_)</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074-441A-9059-19D0FD37E2B8}"/>
            </c:ext>
          </c:extLst>
        </c:ser>
        <c:dLbls>
          <c:showLegendKey val="0"/>
          <c:showVal val="0"/>
          <c:showCatName val="0"/>
          <c:showSerName val="0"/>
          <c:showPercent val="0"/>
          <c:showBubbleSize val="0"/>
        </c:dLbls>
        <c:gapWidth val="219"/>
        <c:overlap val="-27"/>
        <c:axId val="1442685231"/>
        <c:axId val="1442668815"/>
      </c:bar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'Category Dashboard'!$B$9:$B$20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'Category Dashboard'!$C$9:$C$20</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42D3-4FD4-967F-E1524D508B14}"/>
            </c:ext>
          </c:extLst>
        </c:ser>
        <c:dLbls>
          <c:showLegendKey val="0"/>
          <c:showVal val="0"/>
          <c:showCatName val="0"/>
          <c:showSerName val="0"/>
          <c:showPercent val="0"/>
          <c:showBubbleSize val="0"/>
        </c:dLbls>
        <c:marker val="1"/>
        <c:smooth val="0"/>
        <c:axId val="1442685231"/>
        <c:axId val="1442668815"/>
      </c:line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 in each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'Annual Dashboard'!$B$9:$B$20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'Annual Dashboard'!$C$9:$C$20</c:f>
              <c:numCache>
                <c:formatCode>_("$"* #,##0.00_);_("$"* \(#,##0.00\);_("$"*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57C2-46AD-85E3-9FEDAA54BB41}"/>
            </c:ext>
          </c:extLst>
        </c:ser>
        <c:dLbls>
          <c:showLegendKey val="0"/>
          <c:showVal val="0"/>
          <c:showCatName val="0"/>
          <c:showSerName val="0"/>
          <c:showPercent val="0"/>
          <c:showBubbleSize val="0"/>
        </c:dLbls>
        <c:marker val="1"/>
        <c:smooth val="0"/>
        <c:axId val="1499442463"/>
        <c:axId val="1499447039"/>
      </c:lineChart>
      <c:catAx>
        <c:axId val="1499442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9447039"/>
        <c:crosses val="autoZero"/>
        <c:auto val="1"/>
        <c:lblAlgn val="ctr"/>
        <c:lblOffset val="100"/>
        <c:noMultiLvlLbl val="0"/>
      </c:catAx>
      <c:valAx>
        <c:axId val="1499447039"/>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9442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multiLvlStrRef>
              <c:f>'Annual Dashboard'!$B$23:$B$35</c:f>
            </c:multiLvlStrRef>
          </c:cat>
          <c:val>
            <c:numRef>
              <c:f>'Annual Dashboard'!$C$23:$C$35</c:f>
              <c:numCache>
                <c:formatCode>_("$"* #,##0.00_);_("$"* \(#,##0.00\);_("$"* "-"??_);_(@_)</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BAA-4A32-A686-EEC82647FFFE}"/>
            </c:ext>
          </c:extLst>
        </c:ser>
        <c:dLbls>
          <c:showLegendKey val="0"/>
          <c:showVal val="0"/>
          <c:showCatName val="0"/>
          <c:showSerName val="0"/>
          <c:showPercent val="0"/>
          <c:showBubbleSize val="0"/>
        </c:dLbls>
        <c:gapWidth val="219"/>
        <c:overlap val="-27"/>
        <c:axId val="1442685231"/>
        <c:axId val="1442668815"/>
      </c:bar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multiLvlStrRef>
              <c:f>'Monthly Dashboard'!$B$9:$B$27</c:f>
            </c:multiLvlStrRef>
          </c:cat>
          <c:val>
            <c:numRef>
              <c:f>'Monthly Compare Dashboard'!$C$9:$C$27</c:f>
              <c:numCache>
                <c:formatCode>_("$"* #,##0.00_);_("$"* \(#,##0.00\);_("$"* "-"??_);_(@_)</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0C7C-47A7-8ED7-947FC650EB0C}"/>
            </c:ext>
          </c:extLst>
        </c:ser>
        <c:dLbls>
          <c:showLegendKey val="0"/>
          <c:showVal val="0"/>
          <c:showCatName val="0"/>
          <c:showSerName val="0"/>
          <c:showPercent val="0"/>
          <c:showBubbleSize val="0"/>
        </c:dLbls>
        <c:gapWidth val="219"/>
        <c:overlap val="-27"/>
        <c:axId val="1442685231"/>
        <c:axId val="1442668815"/>
      </c:bar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Spending</a:t>
            </a:r>
            <a:r>
              <a:rPr lang="en-US" baseline="0"/>
              <a:t> in each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multiLvlStrRef>
              <c:f>'Monthly Dashboard'!$B$9:$B$27</c:f>
            </c:multiLvlStrRef>
          </c:cat>
          <c:val>
            <c:numRef>
              <c:f>'Monthly Compare Dashboard'!$C$9:$C$27</c:f>
              <c:numCache>
                <c:formatCode>_("$"* #,##0.00_);_("$"* \(#,##0.00\);_("$"* "-"??_);_(@_)</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numCache>
            </c:numRef>
          </c:val>
          <c:extLst>
            <c:ext xmlns:c16="http://schemas.microsoft.com/office/drawing/2014/chart" uri="{C3380CC4-5D6E-409C-BE32-E72D297353CC}">
              <c16:uniqueId val="{00000000-8103-4A8D-A6E8-9B20A7F01C7D}"/>
            </c:ext>
          </c:extLst>
        </c:ser>
        <c:dLbls>
          <c:showLegendKey val="0"/>
          <c:showVal val="0"/>
          <c:showCatName val="0"/>
          <c:showSerName val="0"/>
          <c:showPercent val="0"/>
          <c:showBubbleSize val="0"/>
        </c:dLbls>
        <c:gapWidth val="219"/>
        <c:overlap val="-27"/>
        <c:axId val="1442685231"/>
        <c:axId val="1442668815"/>
      </c:barChart>
      <c:catAx>
        <c:axId val="14426852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68815"/>
        <c:crosses val="autoZero"/>
        <c:auto val="1"/>
        <c:lblAlgn val="ctr"/>
        <c:lblOffset val="100"/>
        <c:noMultiLvlLbl val="0"/>
      </c:catAx>
      <c:valAx>
        <c:axId val="1442668815"/>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26852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1666875</xdr:colOff>
          <xdr:row>9</xdr:row>
          <xdr:rowOff>57150</xdr:rowOff>
        </xdr:from>
        <xdr:to>
          <xdr:col>3</xdr:col>
          <xdr:colOff>447675</xdr:colOff>
          <xdr:row>11</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Transaction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1704975</xdr:colOff>
          <xdr:row>12</xdr:row>
          <xdr:rowOff>95250</xdr:rowOff>
        </xdr:from>
        <xdr:to>
          <xdr:col>3</xdr:col>
          <xdr:colOff>466725</xdr:colOff>
          <xdr:row>14</xdr:row>
          <xdr:rowOff>104775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Categorize Expenses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1704975</xdr:colOff>
          <xdr:row>17</xdr:row>
          <xdr:rowOff>66675</xdr:rowOff>
        </xdr:from>
        <xdr:to>
          <xdr:col>3</xdr:col>
          <xdr:colOff>485775</xdr:colOff>
          <xdr:row>19</xdr:row>
          <xdr:rowOff>142875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Transaction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276225</xdr:colOff>
          <xdr:row>9</xdr:row>
          <xdr:rowOff>57150</xdr:rowOff>
        </xdr:from>
        <xdr:to>
          <xdr:col>2</xdr:col>
          <xdr:colOff>1066800</xdr:colOff>
          <xdr:row>11</xdr:row>
          <xdr:rowOff>114300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Setup Data Import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6</xdr:row>
          <xdr:rowOff>57150</xdr:rowOff>
        </xdr:from>
        <xdr:to>
          <xdr:col>6</xdr:col>
          <xdr:colOff>438150</xdr:colOff>
          <xdr:row>8</xdr:row>
          <xdr:rowOff>85725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Get Categories from Expense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276225</xdr:colOff>
          <xdr:row>12</xdr:row>
          <xdr:rowOff>57150</xdr:rowOff>
        </xdr:from>
        <xdr:to>
          <xdr:col>2</xdr:col>
          <xdr:colOff>1066800</xdr:colOff>
          <xdr:row>14</xdr:row>
          <xdr:rowOff>123825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Import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276225</xdr:colOff>
          <xdr:row>15</xdr:row>
          <xdr:rowOff>57150</xdr:rowOff>
        </xdr:from>
        <xdr:to>
          <xdr:col>2</xdr:col>
          <xdr:colOff>1066800</xdr:colOff>
          <xdr:row>17</xdr:row>
          <xdr:rowOff>123825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Data Import Settings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380999</xdr:colOff>
      <xdr:row>29</xdr:row>
      <xdr:rowOff>176211</xdr:rowOff>
    </xdr:from>
    <xdr:to>
      <xdr:col>5</xdr:col>
      <xdr:colOff>933449</xdr:colOff>
      <xdr:row>47</xdr:row>
      <xdr:rowOff>95249</xdr:rowOff>
    </xdr:to>
    <xdr:graphicFrame macro="">
      <xdr:nvGraphicFramePr>
        <xdr:cNvPr id="3" name="Category_Spending">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28575</xdr:colOff>
          <xdr:row>5</xdr:row>
          <xdr:rowOff>47625</xdr:rowOff>
        </xdr:from>
        <xdr:to>
          <xdr:col>8</xdr:col>
          <xdr:colOff>590550</xdr:colOff>
          <xdr:row>6</xdr:row>
          <xdr:rowOff>57150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Transactions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380999</xdr:colOff>
      <xdr:row>21</xdr:row>
      <xdr:rowOff>176211</xdr:rowOff>
    </xdr:from>
    <xdr:to>
      <xdr:col>5</xdr:col>
      <xdr:colOff>933449</xdr:colOff>
      <xdr:row>39</xdr:row>
      <xdr:rowOff>95249</xdr:rowOff>
    </xdr:to>
    <xdr:graphicFrame macro="">
      <xdr:nvGraphicFramePr>
        <xdr:cNvPr id="2" name="Category_Spending">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28575</xdr:colOff>
          <xdr:row>5</xdr:row>
          <xdr:rowOff>47625</xdr:rowOff>
        </xdr:from>
        <xdr:to>
          <xdr:col>8</xdr:col>
          <xdr:colOff>590550</xdr:colOff>
          <xdr:row>6</xdr:row>
          <xdr:rowOff>57150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Transactions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247650</xdr:colOff>
      <xdr:row>6</xdr:row>
      <xdr:rowOff>185736</xdr:rowOff>
    </xdr:from>
    <xdr:to>
      <xdr:col>5</xdr:col>
      <xdr:colOff>466725</xdr:colOff>
      <xdr:row>23</xdr:row>
      <xdr:rowOff>85724</xdr:rowOff>
    </xdr:to>
    <xdr:graphicFrame macro="">
      <xdr:nvGraphicFramePr>
        <xdr:cNvPr id="3" name="Month_Spending">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238124</xdr:colOff>
      <xdr:row>24</xdr:row>
      <xdr:rowOff>23811</xdr:rowOff>
    </xdr:from>
    <xdr:to>
      <xdr:col>5</xdr:col>
      <xdr:colOff>476250</xdr:colOff>
      <xdr:row>40</xdr:row>
      <xdr:rowOff>104774</xdr:rowOff>
    </xdr:to>
    <xdr:graphicFrame macro="">
      <xdr:nvGraphicFramePr>
        <xdr:cNvPr id="5" name="Category_Spending">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66675</xdr:colOff>
          <xdr:row>5</xdr:row>
          <xdr:rowOff>9525</xdr:rowOff>
        </xdr:from>
        <xdr:to>
          <xdr:col>8</xdr:col>
          <xdr:colOff>628650</xdr:colOff>
          <xdr:row>6</xdr:row>
          <xdr:rowOff>19050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7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Transactions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380999</xdr:colOff>
      <xdr:row>29</xdr:row>
      <xdr:rowOff>176211</xdr:rowOff>
    </xdr:from>
    <xdr:to>
      <xdr:col>5</xdr:col>
      <xdr:colOff>933449</xdr:colOff>
      <xdr:row>47</xdr:row>
      <xdr:rowOff>95249</xdr:rowOff>
    </xdr:to>
    <xdr:graphicFrame macro="">
      <xdr:nvGraphicFramePr>
        <xdr:cNvPr id="2" name="Category_Spending">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381000</xdr:colOff>
      <xdr:row>29</xdr:row>
      <xdr:rowOff>171450</xdr:rowOff>
    </xdr:from>
    <xdr:to>
      <xdr:col>13</xdr:col>
      <xdr:colOff>933450</xdr:colOff>
      <xdr:row>47</xdr:row>
      <xdr:rowOff>90488</xdr:rowOff>
    </xdr:to>
    <xdr:graphicFrame macro="">
      <xdr:nvGraphicFramePr>
        <xdr:cNvPr id="5" name="Category_Spending_2">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FE06F4-6DB7-4CEC-B763-7B1527052701}" name="TransTable_Annual" displayName="TransTable_Annual" ref="H8:M9" insertRow="1" totalsRowShown="0" headerRowDxfId="4">
  <autoFilter ref="H8:M9" xr:uid="{ABFDA116-EB47-4A71-804B-5A5DCA676F78}"/>
  <sortState xmlns:xlrd2="http://schemas.microsoft.com/office/spreadsheetml/2017/richdata2" ref="H8:M8">
    <sortCondition ref="K8"/>
  </sortState>
  <tableColumns count="6">
    <tableColumn id="1" xr3:uid="{95CA414B-11B5-453E-AC72-60B9F4C69723}" name="Date"/>
    <tableColumn id="2" xr3:uid="{A769AF64-B15B-4760-8A64-5BB4CA7ABDF5}" name="Amount" dataCellStyle="Currency"/>
    <tableColumn id="3" xr3:uid="{4E431390-5715-4384-98A1-C90A7342EDA1}" name="Company's Description"/>
    <tableColumn id="4" xr3:uid="{8A431961-F900-499F-B890-062D1564F6DE}" name="Category"/>
    <tableColumn id="5" xr3:uid="{31D286DB-1309-4633-9FD8-B3FE3AD07CE1}" name="Description"/>
    <tableColumn id="6" xr3:uid="{02684E0B-0234-45AC-B2F1-B9E52181550A}" name="Account"/>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6D0CAF5-122F-4200-8DDE-D34A7DE3AB91}" name="TransTable_Annual2" displayName="TransTable_Annual2" ref="H8:M9" insertRow="1" totalsRowShown="0" headerRowDxfId="3">
  <autoFilter ref="H8:M9" xr:uid="{ABFDA116-EB47-4A71-804B-5A5DCA676F78}"/>
  <sortState xmlns:xlrd2="http://schemas.microsoft.com/office/spreadsheetml/2017/richdata2" ref="H8:M8">
    <sortCondition ref="K8"/>
  </sortState>
  <tableColumns count="6">
    <tableColumn id="1" xr3:uid="{6BDEEC18-28EA-4A8E-80A6-09B6E273E9B4}" name="Date"/>
    <tableColumn id="2" xr3:uid="{E79B7E64-FDC9-488D-9AF4-1C6205616A56}" name="Amount" dataCellStyle="Currency"/>
    <tableColumn id="3" xr3:uid="{FCEB7D7F-9273-448A-900B-7E5BF7260F17}" name="Company's Description"/>
    <tableColumn id="4" xr3:uid="{89059C49-9FDB-43BD-9E5C-E3ECBD4F417D}" name="Category"/>
    <tableColumn id="5" xr3:uid="{39E588A7-4DE5-48F0-988E-19F51CAB3291}" name="Description"/>
    <tableColumn id="6" xr3:uid="{CECF756B-9232-467E-BED0-21810586E2E8}" name="Account"/>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E77BC39-2645-4AD7-91EC-B6AAEA47F547}" name="TransTable_Monthly" displayName="TransTable_Monthly" ref="H8:M9" insertRow="1" totalsRowShown="0" headerRowDxfId="2" headerRowBorderDxfId="1" tableBorderDxfId="0">
  <autoFilter ref="H8:M9" xr:uid="{37F9556F-11BE-4EA2-BC70-673D66A87726}"/>
  <sortState xmlns:xlrd2="http://schemas.microsoft.com/office/spreadsheetml/2017/richdata2" ref="H8:M8">
    <sortCondition ref="H8"/>
  </sortState>
  <tableColumns count="6">
    <tableColumn id="1" xr3:uid="{5478DBA4-A1C9-4A35-AFDA-A86F8ADA0733}" name="Date"/>
    <tableColumn id="2" xr3:uid="{E909A849-E67F-40F3-96E5-875912205F21}" name="Amount"/>
    <tableColumn id="3" xr3:uid="{2AA3A530-761C-45E0-A388-95872E8288BF}" name="Company's Description"/>
    <tableColumn id="4" xr3:uid="{FCE96447-806F-40A7-BED2-E38A10E61065}" name="Category"/>
    <tableColumn id="5" xr3:uid="{6D66B66E-F227-4F84-8074-10EC1558070D}" name="Description"/>
    <tableColumn id="6" xr3:uid="{63887C13-31D0-4E54-B6CD-4B62F3771F43}" name="Account"/>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github.com/jpetersheim/expense-book"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5A595-9BFD-4573-AEF0-0CAE14210181}">
  <sheetPr codeName="Sheet5">
    <tabColor theme="7" tint="0.39997558519241921"/>
  </sheetPr>
  <dimension ref="B1:I26"/>
  <sheetViews>
    <sheetView showGridLines="0" workbookViewId="0">
      <selection activeCell="B2" sqref="B2:C2"/>
    </sheetView>
  </sheetViews>
  <sheetFormatPr defaultRowHeight="15" x14ac:dyDescent="0.25"/>
  <cols>
    <col min="2" max="2" width="17.140625" customWidth="1"/>
    <col min="3" max="3" width="46.5703125" customWidth="1"/>
    <col min="4" max="4" width="2.85546875" customWidth="1"/>
    <col min="5" max="5" width="1.42578125" customWidth="1"/>
    <col min="6" max="6" width="2.85546875" customWidth="1"/>
    <col min="7" max="7" width="17.140625" customWidth="1"/>
    <col min="8" max="8" width="46.5703125" customWidth="1"/>
    <col min="9" max="9" width="17.7109375" bestFit="1" customWidth="1"/>
  </cols>
  <sheetData>
    <row r="1" spans="2:9" s="3" customFormat="1" x14ac:dyDescent="0.25">
      <c r="I1" s="3" t="s">
        <v>54</v>
      </c>
    </row>
    <row r="2" spans="2:9" s="3" customFormat="1" ht="35.25" customHeight="1" x14ac:dyDescent="0.55000000000000004">
      <c r="B2" s="91" t="s">
        <v>14</v>
      </c>
      <c r="C2" s="91"/>
    </row>
    <row r="3" spans="2:9" s="3" customFormat="1" x14ac:dyDescent="0.25">
      <c r="B3" s="5" t="s">
        <v>13</v>
      </c>
      <c r="C3" s="6">
        <v>1</v>
      </c>
    </row>
    <row r="4" spans="2:9" s="7" customFormat="1" x14ac:dyDescent="0.25"/>
    <row r="5" spans="2:9" ht="13.5" customHeight="1" x14ac:dyDescent="0.25">
      <c r="C5" s="1"/>
    </row>
    <row r="6" spans="2:9" ht="21" x14ac:dyDescent="0.35">
      <c r="B6" s="90" t="s">
        <v>73</v>
      </c>
      <c r="C6" s="90"/>
      <c r="E6" s="85"/>
      <c r="G6" s="90" t="s">
        <v>74</v>
      </c>
      <c r="H6" s="90"/>
    </row>
    <row r="7" spans="2:9" x14ac:dyDescent="0.25">
      <c r="E7" s="85"/>
    </row>
    <row r="8" spans="2:9" ht="31.5" customHeight="1" x14ac:dyDescent="0.25">
      <c r="B8" s="88" t="s">
        <v>64</v>
      </c>
      <c r="C8" s="88"/>
      <c r="E8" s="85"/>
      <c r="G8" s="88" t="s">
        <v>75</v>
      </c>
      <c r="H8" s="88"/>
    </row>
    <row r="9" spans="2:9" x14ac:dyDescent="0.25">
      <c r="E9" s="85"/>
    </row>
    <row r="10" spans="2:9" ht="44.25" customHeight="1" x14ac:dyDescent="0.25">
      <c r="B10" s="88" t="s">
        <v>68</v>
      </c>
      <c r="C10" s="88"/>
      <c r="E10" s="85"/>
      <c r="G10" s="86" t="s">
        <v>80</v>
      </c>
      <c r="H10" s="86"/>
    </row>
    <row r="11" spans="2:9" ht="30" customHeight="1" x14ac:dyDescent="0.25">
      <c r="C11" s="82" t="s">
        <v>65</v>
      </c>
      <c r="E11" s="85"/>
      <c r="G11" s="86" t="s">
        <v>81</v>
      </c>
      <c r="H11" s="86"/>
    </row>
    <row r="12" spans="2:9" ht="30" x14ac:dyDescent="0.25">
      <c r="C12" s="82" t="s">
        <v>66</v>
      </c>
      <c r="E12" s="85"/>
      <c r="G12" s="86"/>
      <c r="H12" s="86"/>
    </row>
    <row r="13" spans="2:9" ht="30" x14ac:dyDescent="0.25">
      <c r="C13" s="82" t="s">
        <v>67</v>
      </c>
      <c r="E13" s="85"/>
      <c r="G13" s="86"/>
      <c r="H13" s="86"/>
    </row>
    <row r="14" spans="2:9" x14ac:dyDescent="0.25">
      <c r="E14" s="85"/>
      <c r="G14" s="83"/>
      <c r="H14" s="83"/>
    </row>
    <row r="15" spans="2:9" ht="30" customHeight="1" x14ac:dyDescent="0.25">
      <c r="B15" s="88" t="s">
        <v>69</v>
      </c>
      <c r="C15" s="88"/>
      <c r="E15" s="85"/>
      <c r="G15" s="86" t="s">
        <v>82</v>
      </c>
      <c r="H15" s="86"/>
    </row>
    <row r="16" spans="2:9" x14ac:dyDescent="0.25">
      <c r="E16" s="85"/>
    </row>
    <row r="17" spans="2:8" ht="30" customHeight="1" x14ac:dyDescent="0.25">
      <c r="B17" s="88" t="s">
        <v>70</v>
      </c>
      <c r="C17" s="88"/>
      <c r="E17" s="85"/>
      <c r="G17" s="86" t="s">
        <v>83</v>
      </c>
      <c r="H17" s="86"/>
    </row>
    <row r="18" spans="2:8" x14ac:dyDescent="0.25">
      <c r="E18" s="85"/>
    </row>
    <row r="19" spans="2:8" ht="92.25" customHeight="1" x14ac:dyDescent="0.25">
      <c r="B19" s="89" t="s">
        <v>71</v>
      </c>
      <c r="C19" s="89"/>
      <c r="E19" s="85"/>
      <c r="G19" s="86" t="s">
        <v>84</v>
      </c>
      <c r="H19" s="86"/>
    </row>
    <row r="20" spans="2:8" x14ac:dyDescent="0.25">
      <c r="E20" s="85"/>
    </row>
    <row r="21" spans="2:8" ht="90" customHeight="1" x14ac:dyDescent="0.25">
      <c r="B21" s="88" t="s">
        <v>72</v>
      </c>
      <c r="C21" s="88"/>
      <c r="E21" s="85"/>
      <c r="G21" s="86" t="s">
        <v>85</v>
      </c>
      <c r="H21" s="86"/>
    </row>
    <row r="22" spans="2:8" ht="9" customHeight="1" x14ac:dyDescent="0.25">
      <c r="B22" s="85"/>
      <c r="C22" s="85"/>
      <c r="D22" s="85"/>
      <c r="E22" s="85"/>
      <c r="F22" s="85"/>
      <c r="G22" s="85"/>
      <c r="H22" s="85"/>
    </row>
    <row r="23" spans="2:8" x14ac:dyDescent="0.25">
      <c r="G23" s="87" t="s">
        <v>87</v>
      </c>
      <c r="H23" s="87"/>
    </row>
    <row r="24" spans="2:8" ht="15" customHeight="1" x14ac:dyDescent="0.25">
      <c r="G24" s="87"/>
      <c r="H24" s="87"/>
    </row>
    <row r="25" spans="2:8" x14ac:dyDescent="0.25">
      <c r="G25" s="87"/>
      <c r="H25" s="87"/>
    </row>
    <row r="26" spans="2:8" x14ac:dyDescent="0.25">
      <c r="G26" s="84" t="s">
        <v>86</v>
      </c>
    </row>
  </sheetData>
  <protectedRanges>
    <protectedRange sqref="C6:F6" name="Range1"/>
    <protectedRange sqref="H11:I30" name="Range2"/>
  </protectedRanges>
  <mergeCells count="17">
    <mergeCell ref="G6:H6"/>
    <mergeCell ref="G8:H8"/>
    <mergeCell ref="B2:C2"/>
    <mergeCell ref="B6:C6"/>
    <mergeCell ref="B8:C8"/>
    <mergeCell ref="B10:C10"/>
    <mergeCell ref="B15:C15"/>
    <mergeCell ref="B17:C17"/>
    <mergeCell ref="B19:C19"/>
    <mergeCell ref="B21:C21"/>
    <mergeCell ref="G17:H17"/>
    <mergeCell ref="G19:H19"/>
    <mergeCell ref="G21:H21"/>
    <mergeCell ref="G23:H25"/>
    <mergeCell ref="G10:H10"/>
    <mergeCell ref="G11:H13"/>
    <mergeCell ref="G15:H15"/>
  </mergeCells>
  <hyperlinks>
    <hyperlink ref="G26" r:id="rId1" xr:uid="{05C3A309-4417-476E-97DB-CAAAD40F3F7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95F3B-4DDE-4235-814F-7D0C452D1DB9}">
  <sheetPr codeName="Sheet4">
    <tabColor rgb="FF006600"/>
  </sheetPr>
  <dimension ref="B1:J31"/>
  <sheetViews>
    <sheetView showGridLines="0" tabSelected="1" zoomScaleNormal="100" workbookViewId="0">
      <selection activeCell="K14" sqref="K14"/>
    </sheetView>
  </sheetViews>
  <sheetFormatPr defaultRowHeight="15" x14ac:dyDescent="0.25"/>
  <cols>
    <col min="2" max="2" width="17.140625" customWidth="1"/>
    <col min="3" max="3" width="46.5703125" customWidth="1"/>
    <col min="6" max="6" width="17" customWidth="1"/>
    <col min="7" max="7" width="17.7109375" bestFit="1" customWidth="1"/>
  </cols>
  <sheetData>
    <row r="1" spans="2:10" s="3" customFormat="1" x14ac:dyDescent="0.25">
      <c r="J1" s="3" t="s">
        <v>54</v>
      </c>
    </row>
    <row r="2" spans="2:10" s="3" customFormat="1" ht="35.25" customHeight="1" x14ac:dyDescent="0.55000000000000004">
      <c r="B2" s="91" t="s">
        <v>14</v>
      </c>
      <c r="C2" s="91"/>
    </row>
    <row r="3" spans="2:10" s="3" customFormat="1" x14ac:dyDescent="0.25">
      <c r="B3" s="5" t="s">
        <v>13</v>
      </c>
      <c r="C3" s="6">
        <v>1</v>
      </c>
    </row>
    <row r="4" spans="2:10" s="7" customFormat="1" x14ac:dyDescent="0.25"/>
    <row r="5" spans="2:10" ht="13.5" customHeight="1" thickBot="1" x14ac:dyDescent="0.3">
      <c r="C5" s="1"/>
    </row>
    <row r="6" spans="2:10" x14ac:dyDescent="0.25">
      <c r="B6" s="67" t="s">
        <v>8</v>
      </c>
      <c r="C6" s="92"/>
      <c r="D6" s="93"/>
      <c r="F6" t="s">
        <v>28</v>
      </c>
    </row>
    <row r="7" spans="2:10" x14ac:dyDescent="0.25">
      <c r="B7" s="68" t="s">
        <v>10</v>
      </c>
      <c r="C7" s="94"/>
      <c r="D7" s="95"/>
    </row>
    <row r="8" spans="2:10" ht="15.75" thickBot="1" x14ac:dyDescent="0.3">
      <c r="B8" s="69" t="s">
        <v>9</v>
      </c>
      <c r="C8" s="96"/>
      <c r="D8" s="97"/>
    </row>
    <row r="9" spans="2:10" ht="15.75" thickBot="1" x14ac:dyDescent="0.3"/>
    <row r="10" spans="2:10" ht="15.75" thickBot="1" x14ac:dyDescent="0.3">
      <c r="F10" s="17" t="s">
        <v>6</v>
      </c>
      <c r="G10" s="18" t="s">
        <v>63</v>
      </c>
    </row>
    <row r="11" spans="2:10" x14ac:dyDescent="0.25">
      <c r="F11" s="16"/>
      <c r="G11" s="19"/>
    </row>
    <row r="12" spans="2:10" x14ac:dyDescent="0.25">
      <c r="F12" s="14"/>
      <c r="G12" s="19"/>
    </row>
    <row r="13" spans="2:10" x14ac:dyDescent="0.25">
      <c r="F13" s="14"/>
      <c r="G13" s="19"/>
    </row>
    <row r="14" spans="2:10" x14ac:dyDescent="0.25">
      <c r="F14" s="14"/>
      <c r="G14" s="19"/>
    </row>
    <row r="15" spans="2:10" x14ac:dyDescent="0.25">
      <c r="F15" s="14"/>
      <c r="G15" s="19"/>
    </row>
    <row r="16" spans="2:10" x14ac:dyDescent="0.25">
      <c r="C16" s="65" t="s">
        <v>56</v>
      </c>
      <c r="D16" s="66">
        <f>COUNTBLANK(INDEX(ExpenseList,,6))</f>
        <v>0</v>
      </c>
      <c r="F16" s="14"/>
      <c r="G16" s="19"/>
    </row>
    <row r="17" spans="6:7" x14ac:dyDescent="0.25">
      <c r="F17" s="14"/>
      <c r="G17" s="19"/>
    </row>
    <row r="18" spans="6:7" x14ac:dyDescent="0.25">
      <c r="F18" s="14"/>
      <c r="G18" s="19"/>
    </row>
    <row r="19" spans="6:7" x14ac:dyDescent="0.25">
      <c r="F19" s="14"/>
      <c r="G19" s="19"/>
    </row>
    <row r="20" spans="6:7" x14ac:dyDescent="0.25">
      <c r="F20" s="14"/>
      <c r="G20" s="19"/>
    </row>
    <row r="21" spans="6:7" x14ac:dyDescent="0.25">
      <c r="F21" s="14"/>
      <c r="G21" s="19"/>
    </row>
    <row r="22" spans="6:7" x14ac:dyDescent="0.25">
      <c r="F22" s="14"/>
      <c r="G22" s="19"/>
    </row>
    <row r="23" spans="6:7" x14ac:dyDescent="0.25">
      <c r="F23" s="14"/>
      <c r="G23" s="19"/>
    </row>
    <row r="24" spans="6:7" x14ac:dyDescent="0.25">
      <c r="F24" s="14"/>
      <c r="G24" s="19"/>
    </row>
    <row r="25" spans="6:7" x14ac:dyDescent="0.25">
      <c r="F25" s="14"/>
      <c r="G25" s="20"/>
    </row>
    <row r="26" spans="6:7" x14ac:dyDescent="0.25">
      <c r="F26" s="14"/>
      <c r="G26" s="20"/>
    </row>
    <row r="27" spans="6:7" x14ac:dyDescent="0.25">
      <c r="F27" s="14"/>
      <c r="G27" s="20"/>
    </row>
    <row r="28" spans="6:7" x14ac:dyDescent="0.25">
      <c r="F28" s="14"/>
      <c r="G28" s="20"/>
    </row>
    <row r="29" spans="6:7" x14ac:dyDescent="0.25">
      <c r="F29" s="14"/>
      <c r="G29" s="20"/>
    </row>
    <row r="30" spans="6:7" ht="15.75" thickBot="1" x14ac:dyDescent="0.3">
      <c r="F30" s="22"/>
      <c r="G30" s="23"/>
    </row>
    <row r="31" spans="6:7" ht="16.5" thickTop="1" thickBot="1" x14ac:dyDescent="0.3">
      <c r="F31" s="24" t="s">
        <v>29</v>
      </c>
      <c r="G31" s="25">
        <f>SUM(G11:G30)</f>
        <v>0</v>
      </c>
    </row>
  </sheetData>
  <protectedRanges>
    <protectedRange sqref="C6:D6" name="Range1"/>
    <protectedRange sqref="F11:G30" name="Range2"/>
  </protectedRanges>
  <mergeCells count="4">
    <mergeCell ref="B2:C2"/>
    <mergeCell ref="C6:D6"/>
    <mergeCell ref="C7:D7"/>
    <mergeCell ref="C8:D8"/>
  </mergeCells>
  <conditionalFormatting sqref="D16">
    <cfRule type="cellIs" dxfId="6" priority="1" operator="equal">
      <formula>0</formula>
    </cfRule>
    <cfRule type="cellIs" dxfId="5" priority="2" operator="greater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Data">
                <anchor moveWithCells="1" sizeWithCells="1">
                  <from>
                    <xdr:col>2</xdr:col>
                    <xdr:colOff>1666875</xdr:colOff>
                    <xdr:row>9</xdr:row>
                    <xdr:rowOff>57150</xdr:rowOff>
                  </from>
                  <to>
                    <xdr:col>3</xdr:col>
                    <xdr:colOff>447675</xdr:colOff>
                    <xdr:row>11</xdr:row>
                    <xdr:rowOff>114300</xdr:rowOff>
                  </to>
                </anchor>
              </controlPr>
            </control>
          </mc:Choice>
        </mc:AlternateContent>
        <mc:AlternateContent xmlns:mc="http://schemas.openxmlformats.org/markup-compatibility/2006">
          <mc:Choice Requires="x14">
            <control shapeId="1027" r:id="rId5" name="Button 3">
              <controlPr defaultSize="0" print="0" autoFill="0" autoPict="0" macro="[0]!ThisWorkbook.CategorizeTrans">
                <anchor moveWithCells="1" sizeWithCells="1">
                  <from>
                    <xdr:col>2</xdr:col>
                    <xdr:colOff>1704975</xdr:colOff>
                    <xdr:row>12</xdr:row>
                    <xdr:rowOff>95250</xdr:rowOff>
                  </from>
                  <to>
                    <xdr:col>3</xdr:col>
                    <xdr:colOff>466725</xdr:colOff>
                    <xdr:row>14</xdr:row>
                    <xdr:rowOff>104775</xdr:rowOff>
                  </to>
                </anchor>
              </controlPr>
            </control>
          </mc:Choice>
        </mc:AlternateContent>
        <mc:AlternateContent xmlns:mc="http://schemas.openxmlformats.org/markup-compatibility/2006">
          <mc:Choice Requires="x14">
            <control shapeId="1029" r:id="rId6" name="Button 5">
              <controlPr defaultSize="0" print="0" autoFill="0" autoPict="0" macro="[0]!RemoveImports">
                <anchor moveWithCells="1" sizeWithCells="1">
                  <from>
                    <xdr:col>2</xdr:col>
                    <xdr:colOff>1704975</xdr:colOff>
                    <xdr:row>17</xdr:row>
                    <xdr:rowOff>66675</xdr:rowOff>
                  </from>
                  <to>
                    <xdr:col>3</xdr:col>
                    <xdr:colOff>485775</xdr:colOff>
                    <xdr:row>19</xdr:row>
                    <xdr:rowOff>142875</xdr:rowOff>
                  </to>
                </anchor>
              </controlPr>
            </control>
          </mc:Choice>
        </mc:AlternateContent>
        <mc:AlternateContent xmlns:mc="http://schemas.openxmlformats.org/markup-compatibility/2006">
          <mc:Choice Requires="x14">
            <control shapeId="1030" r:id="rId7" name="Button 6">
              <controlPr defaultSize="0" print="0" autoFill="0" autoPict="0" macro="[0]!SetupImports">
                <anchor moveWithCells="1" sizeWithCells="1">
                  <from>
                    <xdr:col>1</xdr:col>
                    <xdr:colOff>276225</xdr:colOff>
                    <xdr:row>9</xdr:row>
                    <xdr:rowOff>57150</xdr:rowOff>
                  </from>
                  <to>
                    <xdr:col>2</xdr:col>
                    <xdr:colOff>1066800</xdr:colOff>
                    <xdr:row>11</xdr:row>
                    <xdr:rowOff>114300</xdr:rowOff>
                  </to>
                </anchor>
              </controlPr>
            </control>
          </mc:Choice>
        </mc:AlternateContent>
        <mc:AlternateContent xmlns:mc="http://schemas.openxmlformats.org/markup-compatibility/2006">
          <mc:Choice Requires="x14">
            <control shapeId="1034" r:id="rId8" name="Button 10">
              <controlPr defaultSize="0" print="0" autoFill="0" autoPict="0" macro="[0]!GetCategs">
                <anchor moveWithCells="1">
                  <from>
                    <xdr:col>5</xdr:col>
                    <xdr:colOff>409575</xdr:colOff>
                    <xdr:row>6</xdr:row>
                    <xdr:rowOff>57150</xdr:rowOff>
                  </from>
                  <to>
                    <xdr:col>6</xdr:col>
                    <xdr:colOff>438150</xdr:colOff>
                    <xdr:row>8</xdr:row>
                    <xdr:rowOff>85725</xdr:rowOff>
                  </to>
                </anchor>
              </controlPr>
            </control>
          </mc:Choice>
        </mc:AlternateContent>
        <mc:AlternateContent xmlns:mc="http://schemas.openxmlformats.org/markup-compatibility/2006">
          <mc:Choice Requires="x14">
            <control shapeId="1038" r:id="rId9" name="Button 14">
              <controlPr defaultSize="0" print="0" autoFill="0" autoPict="0" macro="[0]!ImportSettings">
                <anchor moveWithCells="1" sizeWithCells="1">
                  <from>
                    <xdr:col>1</xdr:col>
                    <xdr:colOff>276225</xdr:colOff>
                    <xdr:row>12</xdr:row>
                    <xdr:rowOff>57150</xdr:rowOff>
                  </from>
                  <to>
                    <xdr:col>2</xdr:col>
                    <xdr:colOff>1066800</xdr:colOff>
                    <xdr:row>14</xdr:row>
                    <xdr:rowOff>123825</xdr:rowOff>
                  </to>
                </anchor>
              </controlPr>
            </control>
          </mc:Choice>
        </mc:AlternateContent>
        <mc:AlternateContent xmlns:mc="http://schemas.openxmlformats.org/markup-compatibility/2006">
          <mc:Choice Requires="x14">
            <control shapeId="1039" r:id="rId10" name="Button 15">
              <controlPr defaultSize="0" print="0" autoFill="0" autoPict="0" macro="[0]!ExportSettings">
                <anchor moveWithCells="1" sizeWithCells="1">
                  <from>
                    <xdr:col>1</xdr:col>
                    <xdr:colOff>276225</xdr:colOff>
                    <xdr:row>15</xdr:row>
                    <xdr:rowOff>57150</xdr:rowOff>
                  </from>
                  <to>
                    <xdr:col>2</xdr:col>
                    <xdr:colOff>1066800</xdr:colOff>
                    <xdr:row>17</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CBEEF-91C9-4604-A215-45FBD3F9A711}">
  <sheetPr codeName="Sheet8">
    <tabColor theme="5" tint="0.39997558519241921"/>
  </sheetPr>
  <dimension ref="A1:N2"/>
  <sheetViews>
    <sheetView showGridLines="0" workbookViewId="0">
      <pane ySplit="2" topLeftCell="A39" activePane="bottomLeft" state="frozen"/>
      <selection pane="bottomLeft" sqref="A1:L1"/>
    </sheetView>
  </sheetViews>
  <sheetFormatPr defaultRowHeight="15" x14ac:dyDescent="0.25"/>
  <cols>
    <col min="1" max="1" width="10.5703125" customWidth="1"/>
    <col min="2" max="2" width="13.42578125" style="52" customWidth="1"/>
    <col min="3" max="3" width="12" style="2" customWidth="1"/>
    <col min="4" max="4" width="57.140625" customWidth="1"/>
    <col min="5" max="5" width="22.85546875" customWidth="1"/>
    <col min="6" max="7" width="19.85546875" customWidth="1"/>
    <col min="8" max="8" width="23.140625" customWidth="1"/>
    <col min="9" max="9" width="14.85546875" customWidth="1"/>
    <col min="10" max="10" width="18.42578125" customWidth="1"/>
    <col min="11" max="11" width="13.5703125" style="13" customWidth="1"/>
    <col min="12" max="12" width="41.7109375" customWidth="1"/>
    <col min="13" max="14" width="9.140625" hidden="1" customWidth="1"/>
  </cols>
  <sheetData>
    <row r="1" spans="1:14" x14ac:dyDescent="0.25">
      <c r="A1" s="98" t="str">
        <f>_xlfn.CONCAT('Main Tab'!C6, "'s Expenses")</f>
        <v>'s Expenses</v>
      </c>
      <c r="B1" s="99"/>
      <c r="C1" s="99"/>
      <c r="D1" s="99"/>
      <c r="E1" s="99"/>
      <c r="F1" s="99"/>
      <c r="G1" s="99"/>
      <c r="H1" s="99"/>
      <c r="I1" s="99"/>
      <c r="J1" s="99"/>
      <c r="K1" s="99"/>
      <c r="L1" s="100"/>
    </row>
    <row r="2" spans="1:14" ht="15.75" thickBot="1" x14ac:dyDescent="0.3">
      <c r="A2" s="8" t="s">
        <v>11</v>
      </c>
      <c r="B2" s="51" t="s">
        <v>3</v>
      </c>
      <c r="C2" s="9" t="s">
        <v>2</v>
      </c>
      <c r="D2" s="9" t="s">
        <v>5</v>
      </c>
      <c r="E2" s="9" t="s">
        <v>4</v>
      </c>
      <c r="F2" s="10" t="s">
        <v>6</v>
      </c>
      <c r="G2" s="10" t="s">
        <v>7</v>
      </c>
      <c r="H2" s="10" t="s">
        <v>0</v>
      </c>
      <c r="I2" s="10" t="s">
        <v>1</v>
      </c>
      <c r="J2" s="10" t="s">
        <v>16</v>
      </c>
      <c r="K2" s="12" t="s">
        <v>12</v>
      </c>
      <c r="L2" s="11" t="s">
        <v>15</v>
      </c>
      <c r="M2" s="28" t="s">
        <v>43</v>
      </c>
      <c r="N2" s="29" t="s">
        <v>78</v>
      </c>
    </row>
  </sheetData>
  <sheetProtection formatCells="0" formatColumns="0" formatRows="0" sort="0" autoFilter="0" pivotTables="0"/>
  <autoFilter ref="A2:L2" xr:uid="{3F802A19-A867-4C64-943B-91A2164712DA}"/>
  <dataConsolidate link="1"/>
  <mergeCells count="1">
    <mergeCell ref="A1:L1"/>
  </mergeCells>
  <phoneticPr fontId="8"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DD53A-051F-4D65-B22D-B2389573FDF4}">
  <sheetPr codeName="Sheet7">
    <tabColor theme="4" tint="-0.499984740745262"/>
  </sheetPr>
  <dimension ref="B1:M29"/>
  <sheetViews>
    <sheetView showGridLines="0" workbookViewId="0"/>
  </sheetViews>
  <sheetFormatPr defaultRowHeight="15" x14ac:dyDescent="0.25"/>
  <cols>
    <col min="2" max="2" width="25.85546875" customWidth="1"/>
    <col min="3" max="3" width="23.140625" customWidth="1"/>
    <col min="4" max="4" width="18.5703125" customWidth="1"/>
    <col min="5" max="5" width="19.140625" customWidth="1"/>
    <col min="6" max="6" width="19" bestFit="1" customWidth="1"/>
    <col min="7" max="7" width="10" customWidth="1"/>
    <col min="8" max="8" width="11" customWidth="1"/>
    <col min="9" max="9" width="11.85546875" bestFit="1" customWidth="1"/>
    <col min="10" max="10" width="57.28515625" customWidth="1"/>
    <col min="11" max="11" width="14" bestFit="1" customWidth="1"/>
    <col min="12" max="12" width="14.5703125" bestFit="1" customWidth="1"/>
    <col min="13" max="13" width="21.5703125" customWidth="1"/>
  </cols>
  <sheetData>
    <row r="1" spans="2:13" s="3" customFormat="1" x14ac:dyDescent="0.25"/>
    <row r="2" spans="2:13" s="3" customFormat="1" ht="36" x14ac:dyDescent="0.55000000000000004">
      <c r="B2" s="4" t="s">
        <v>47</v>
      </c>
    </row>
    <row r="3" spans="2:13" s="3" customFormat="1" x14ac:dyDescent="0.25">
      <c r="B3" s="44" t="s">
        <v>44</v>
      </c>
      <c r="C3" s="49" t="s">
        <v>53</v>
      </c>
    </row>
    <row r="4" spans="2:13" s="7" customFormat="1" x14ac:dyDescent="0.25">
      <c r="B4" s="70" t="s">
        <v>46</v>
      </c>
      <c r="C4" s="50" t="s">
        <v>53</v>
      </c>
    </row>
    <row r="5" spans="2:13" ht="15.75" thickBot="1" x14ac:dyDescent="0.3"/>
    <row r="6" spans="2:13" ht="24" thickBot="1" x14ac:dyDescent="0.4">
      <c r="B6" s="33" t="s">
        <v>30</v>
      </c>
      <c r="C6" s="30">
        <f>IF($C$3="All",
IF($C$4="All",SUM(INDEX(ExpenseList,,3)),
SUMIFS(INDEX(ExpenseList,,3),INDEX(ExpenseList,,13),$C$4)),
IF($C$4="All",SUMIFS(INDEX(ExpenseList,,3),INDEX(ExpenseList,,14),$C$3),
SUMIFS(INDEX(ExpenseList,,3),INDEX(ExpenseList,,13),$C$4,INDEX(ExpenseList,,14),$C$3)))</f>
        <v>0</v>
      </c>
    </row>
    <row r="7" spans="2:13" ht="15.75" thickBot="1" x14ac:dyDescent="0.3">
      <c r="H7" s="36"/>
    </row>
    <row r="8" spans="2:13" ht="15.75" thickBot="1" x14ac:dyDescent="0.3">
      <c r="B8" s="57" t="s">
        <v>6</v>
      </c>
      <c r="C8" s="58" t="s">
        <v>49</v>
      </c>
      <c r="D8" s="58" t="s">
        <v>48</v>
      </c>
      <c r="E8" s="58" t="s">
        <v>51</v>
      </c>
      <c r="F8" s="59" t="s">
        <v>52</v>
      </c>
      <c r="H8" s="36" t="s">
        <v>3</v>
      </c>
      <c r="I8" s="56" t="s">
        <v>2</v>
      </c>
      <c r="J8" s="53" t="s">
        <v>5</v>
      </c>
      <c r="K8" s="36" t="s">
        <v>6</v>
      </c>
      <c r="L8" s="36" t="s">
        <v>1</v>
      </c>
      <c r="M8" s="36" t="s">
        <v>16</v>
      </c>
    </row>
    <row r="9" spans="2:13" x14ac:dyDescent="0.25">
      <c r="B9" s="31" t="str">
        <f>IF(INDEX(BudgetCat,1)=0,"",INDEX(BudgetCat,1))</f>
        <v/>
      </c>
      <c r="C9" s="72">
        <f t="shared" ref="C9:C28" si="0">IF(B9="",0,IF($C$3="All",
IF($C$4="All",SUMIFS(INDEX(ExpenseList,,3),INDEX(ExpenseList,,6),B9),
SUMIFS(INDEX(ExpenseList,,3),INDEX(ExpenseList,,6),B9,INDEX(ExpenseList,,13),$C$4)),
IF($C$4="All",SUMIFS(INDEX(ExpenseList,,3),INDEX(ExpenseList,,6),B9,INDEX(ExpenseList,,14),$C$3),
SUMIFS(INDEX(ExpenseList,,3),INDEX(ExpenseList,,6),B9,INDEX(ExpenseList,,13),$C$4,INDEX(ExpenseList,,14),$C$3))))</f>
        <v>0</v>
      </c>
      <c r="D9" s="72" cm="1">
        <f t="array" ref="D9:D28">IF($C$4="All",INDEX(Budget,,2)*12,INDEX(Budget,,2))</f>
        <v>0</v>
      </c>
      <c r="E9" s="73">
        <f>D9-C9</f>
        <v>0</v>
      </c>
      <c r="F9" s="74" t="e">
        <f>IF(C9/$C$6=0,"",C9/$C$6)</f>
        <v>#DIV/0!</v>
      </c>
      <c r="H9" s="54"/>
      <c r="I9" s="34"/>
    </row>
    <row r="10" spans="2:13" x14ac:dyDescent="0.25">
      <c r="B10" s="14" t="str">
        <f>IF(INDEX(BudgetCat,2)=0,"",INDEX(BudgetCat,2))</f>
        <v/>
      </c>
      <c r="C10" s="41">
        <f t="shared" si="0"/>
        <v>0</v>
      </c>
      <c r="D10" s="35">
        <v>0</v>
      </c>
      <c r="E10" s="42">
        <f t="shared" ref="E10:E28" si="1">D10-C10</f>
        <v>0</v>
      </c>
      <c r="F10" s="38" t="e">
        <f t="shared" ref="F10:F28" si="2">IF(C10/$C$6=0,"",C10/$C$6)</f>
        <v>#DIV/0!</v>
      </c>
    </row>
    <row r="11" spans="2:13" x14ac:dyDescent="0.25">
      <c r="B11" s="14" t="str">
        <f>IF(INDEX(BudgetCat,3)=0,"",INDEX(BudgetCat,3))</f>
        <v/>
      </c>
      <c r="C11" s="41">
        <f t="shared" si="0"/>
        <v>0</v>
      </c>
      <c r="D11" s="35">
        <v>0</v>
      </c>
      <c r="E11" s="42">
        <f t="shared" si="1"/>
        <v>0</v>
      </c>
      <c r="F11" s="38" t="e">
        <f t="shared" si="2"/>
        <v>#DIV/0!</v>
      </c>
    </row>
    <row r="12" spans="2:13" x14ac:dyDescent="0.25">
      <c r="B12" s="14" t="str">
        <f>IF(INDEX(BudgetCat,4)=0,"",INDEX(BudgetCat,4))</f>
        <v/>
      </c>
      <c r="C12" s="41">
        <f t="shared" si="0"/>
        <v>0</v>
      </c>
      <c r="D12" s="35">
        <v>0</v>
      </c>
      <c r="E12" s="42">
        <f t="shared" si="1"/>
        <v>0</v>
      </c>
      <c r="F12" s="38" t="e">
        <f t="shared" si="2"/>
        <v>#DIV/0!</v>
      </c>
    </row>
    <row r="13" spans="2:13" x14ac:dyDescent="0.25">
      <c r="B13" s="14" t="str">
        <f>IF(INDEX(BudgetCat,5)=0,"",INDEX(BudgetCat,5))</f>
        <v/>
      </c>
      <c r="C13" s="41">
        <f t="shared" si="0"/>
        <v>0</v>
      </c>
      <c r="D13" s="35">
        <v>0</v>
      </c>
      <c r="E13" s="42">
        <f t="shared" si="1"/>
        <v>0</v>
      </c>
      <c r="F13" s="38" t="e">
        <f t="shared" si="2"/>
        <v>#DIV/0!</v>
      </c>
    </row>
    <row r="14" spans="2:13" x14ac:dyDescent="0.25">
      <c r="B14" s="14" t="str">
        <f>IF(INDEX(BudgetCat,6)=0,"",INDEX(BudgetCat,6))</f>
        <v/>
      </c>
      <c r="C14" s="41">
        <f t="shared" si="0"/>
        <v>0</v>
      </c>
      <c r="D14" s="35">
        <v>0</v>
      </c>
      <c r="E14" s="42">
        <f t="shared" si="1"/>
        <v>0</v>
      </c>
      <c r="F14" s="38" t="e">
        <f t="shared" si="2"/>
        <v>#DIV/0!</v>
      </c>
    </row>
    <row r="15" spans="2:13" x14ac:dyDescent="0.25">
      <c r="B15" s="14" t="str">
        <f>IF(INDEX(BudgetCat,7)=0,"",INDEX(BudgetCat,7))</f>
        <v/>
      </c>
      <c r="C15" s="41">
        <f t="shared" si="0"/>
        <v>0</v>
      </c>
      <c r="D15" s="35">
        <v>0</v>
      </c>
      <c r="E15" s="42">
        <f t="shared" si="1"/>
        <v>0</v>
      </c>
      <c r="F15" s="38" t="e">
        <f t="shared" si="2"/>
        <v>#DIV/0!</v>
      </c>
    </row>
    <row r="16" spans="2:13" x14ac:dyDescent="0.25">
      <c r="B16" s="14" t="str">
        <f>IF(INDEX(BudgetCat,8)=0,"",INDEX(BudgetCat,8))</f>
        <v/>
      </c>
      <c r="C16" s="41">
        <f t="shared" si="0"/>
        <v>0</v>
      </c>
      <c r="D16" s="35">
        <v>0</v>
      </c>
      <c r="E16" s="42">
        <f t="shared" si="1"/>
        <v>0</v>
      </c>
      <c r="F16" s="38" t="e">
        <f t="shared" si="2"/>
        <v>#DIV/0!</v>
      </c>
    </row>
    <row r="17" spans="2:6" x14ac:dyDescent="0.25">
      <c r="B17" s="14" t="str">
        <f>IF(INDEX(BudgetCat,9)=0,"",INDEX(BudgetCat,9))</f>
        <v/>
      </c>
      <c r="C17" s="41">
        <f t="shared" si="0"/>
        <v>0</v>
      </c>
      <c r="D17" s="35">
        <v>0</v>
      </c>
      <c r="E17" s="42">
        <f t="shared" si="1"/>
        <v>0</v>
      </c>
      <c r="F17" s="38" t="e">
        <f t="shared" si="2"/>
        <v>#DIV/0!</v>
      </c>
    </row>
    <row r="18" spans="2:6" x14ac:dyDescent="0.25">
      <c r="B18" s="14" t="str">
        <f>IF(INDEX(BudgetCat,10)=0,"",INDEX(BudgetCat,10))</f>
        <v/>
      </c>
      <c r="C18" s="41">
        <f t="shared" si="0"/>
        <v>0</v>
      </c>
      <c r="D18" s="35">
        <v>0</v>
      </c>
      <c r="E18" s="42">
        <f t="shared" si="1"/>
        <v>0</v>
      </c>
      <c r="F18" s="38" t="e">
        <f t="shared" si="2"/>
        <v>#DIV/0!</v>
      </c>
    </row>
    <row r="19" spans="2:6" x14ac:dyDescent="0.25">
      <c r="B19" s="14" t="str">
        <f>IF(INDEX(BudgetCat,11)=0,"",INDEX(BudgetCat,11))</f>
        <v/>
      </c>
      <c r="C19" s="41">
        <f t="shared" si="0"/>
        <v>0</v>
      </c>
      <c r="D19" s="35">
        <v>0</v>
      </c>
      <c r="E19" s="42">
        <f t="shared" si="1"/>
        <v>0</v>
      </c>
      <c r="F19" s="38" t="e">
        <f t="shared" si="2"/>
        <v>#DIV/0!</v>
      </c>
    </row>
    <row r="20" spans="2:6" x14ac:dyDescent="0.25">
      <c r="B20" s="14" t="str">
        <f>IF(INDEX(BudgetCat,12)=0,"",INDEX(BudgetCat,12))</f>
        <v/>
      </c>
      <c r="C20" s="41">
        <f t="shared" si="0"/>
        <v>0</v>
      </c>
      <c r="D20" s="35">
        <v>0</v>
      </c>
      <c r="E20" s="42">
        <f t="shared" si="1"/>
        <v>0</v>
      </c>
      <c r="F20" s="38" t="e">
        <f t="shared" si="2"/>
        <v>#DIV/0!</v>
      </c>
    </row>
    <row r="21" spans="2:6" x14ac:dyDescent="0.25">
      <c r="B21" s="14" t="str">
        <f>IF(INDEX(BudgetCat,13)=0,"",INDEX(BudgetCat,13))</f>
        <v/>
      </c>
      <c r="C21" s="41">
        <f t="shared" si="0"/>
        <v>0</v>
      </c>
      <c r="D21" s="35">
        <v>0</v>
      </c>
      <c r="E21" s="42">
        <f t="shared" si="1"/>
        <v>0</v>
      </c>
      <c r="F21" s="38" t="e">
        <f t="shared" si="2"/>
        <v>#DIV/0!</v>
      </c>
    </row>
    <row r="22" spans="2:6" x14ac:dyDescent="0.25">
      <c r="B22" s="14" t="str">
        <f>IF(INDEX(BudgetCat,14)=0,"",INDEX(BudgetCat,14))</f>
        <v/>
      </c>
      <c r="C22" s="41">
        <f t="shared" si="0"/>
        <v>0</v>
      </c>
      <c r="D22" s="35">
        <v>0</v>
      </c>
      <c r="E22" s="42">
        <f t="shared" si="1"/>
        <v>0</v>
      </c>
      <c r="F22" s="38" t="e">
        <f t="shared" si="2"/>
        <v>#DIV/0!</v>
      </c>
    </row>
    <row r="23" spans="2:6" x14ac:dyDescent="0.25">
      <c r="B23" s="14" t="str">
        <f>IF(INDEX(BudgetCat,15)=0,"",INDEX(BudgetCat,15))</f>
        <v/>
      </c>
      <c r="C23" s="41">
        <f t="shared" si="0"/>
        <v>0</v>
      </c>
      <c r="D23" s="35">
        <v>0</v>
      </c>
      <c r="E23" s="42">
        <f t="shared" si="1"/>
        <v>0</v>
      </c>
      <c r="F23" s="38" t="e">
        <f t="shared" si="2"/>
        <v>#DIV/0!</v>
      </c>
    </row>
    <row r="24" spans="2:6" x14ac:dyDescent="0.25">
      <c r="B24" s="14" t="str">
        <f>IF(INDEX(BudgetCat,16)=0,"",INDEX(BudgetCat,16))</f>
        <v/>
      </c>
      <c r="C24" s="41">
        <f t="shared" si="0"/>
        <v>0</v>
      </c>
      <c r="D24" s="35">
        <v>0</v>
      </c>
      <c r="E24" s="42">
        <f t="shared" si="1"/>
        <v>0</v>
      </c>
      <c r="F24" s="38" t="e">
        <f t="shared" si="2"/>
        <v>#DIV/0!</v>
      </c>
    </row>
    <row r="25" spans="2:6" x14ac:dyDescent="0.25">
      <c r="B25" s="14" t="str">
        <f>IF(INDEX(BudgetCat,17)=0,"",INDEX(BudgetCat,17))</f>
        <v/>
      </c>
      <c r="C25" s="41">
        <f t="shared" si="0"/>
        <v>0</v>
      </c>
      <c r="D25" s="35">
        <v>0</v>
      </c>
      <c r="E25" s="42">
        <f t="shared" si="1"/>
        <v>0</v>
      </c>
      <c r="F25" s="38" t="e">
        <f t="shared" si="2"/>
        <v>#DIV/0!</v>
      </c>
    </row>
    <row r="26" spans="2:6" x14ac:dyDescent="0.25">
      <c r="B26" s="14" t="str">
        <f>IF(INDEX(BudgetCat,18)=0,"",INDEX(BudgetCat,18))</f>
        <v/>
      </c>
      <c r="C26" s="41">
        <f t="shared" si="0"/>
        <v>0</v>
      </c>
      <c r="D26" s="35">
        <v>0</v>
      </c>
      <c r="E26" s="42">
        <f t="shared" si="1"/>
        <v>0</v>
      </c>
      <c r="F26" s="38" t="e">
        <f t="shared" si="2"/>
        <v>#DIV/0!</v>
      </c>
    </row>
    <row r="27" spans="2:6" x14ac:dyDescent="0.25">
      <c r="B27" s="14" t="str">
        <f>IF(INDEX(BudgetCat,19)=0,"",INDEX(BudgetCat,19))</f>
        <v/>
      </c>
      <c r="C27" s="41">
        <f t="shared" si="0"/>
        <v>0</v>
      </c>
      <c r="D27" s="35">
        <v>0</v>
      </c>
      <c r="E27" s="42">
        <f t="shared" si="1"/>
        <v>0</v>
      </c>
      <c r="F27" s="38" t="e">
        <f t="shared" si="2"/>
        <v>#DIV/0!</v>
      </c>
    </row>
    <row r="28" spans="2:6" ht="15.75" thickBot="1" x14ac:dyDescent="0.3">
      <c r="B28" s="15" t="str">
        <f>IF(INDEX(BudgetCat,20)=0,"",INDEX(BudgetCat,20))</f>
        <v/>
      </c>
      <c r="C28" s="75">
        <f t="shared" si="0"/>
        <v>0</v>
      </c>
      <c r="D28" s="39">
        <v>0</v>
      </c>
      <c r="E28" s="43">
        <f t="shared" si="1"/>
        <v>0</v>
      </c>
      <c r="F28" s="40" t="e">
        <f t="shared" si="2"/>
        <v>#DIV/0!</v>
      </c>
    </row>
    <row r="29" spans="2:6" ht="15.75" thickBot="1" x14ac:dyDescent="0.3">
      <c r="D29" s="24" t="s">
        <v>50</v>
      </c>
      <c r="E29" s="37">
        <f>SUM(E9:E22)</f>
        <v>0</v>
      </c>
    </row>
  </sheetData>
  <sheetProtection autoFilter="0"/>
  <protectedRanges>
    <protectedRange sqref="C3:C4" name="Range1"/>
  </protectedRanges>
  <conditionalFormatting sqref="E9:E28">
    <cfRule type="dataBar" priority="2">
      <dataBar>
        <cfvo type="min"/>
        <cfvo type="max"/>
        <color rgb="FF63C384"/>
      </dataBar>
      <extLst>
        <ext xmlns:x14="http://schemas.microsoft.com/office/spreadsheetml/2009/9/main" uri="{B025F937-C7B1-47D3-B67F-A62EFF666E3E}">
          <x14:id>{E4610CC6-773E-4EBC-994C-0A6B86EFC3F0}</x14:id>
        </ext>
      </extLst>
    </cfRule>
  </conditionalFormatting>
  <conditionalFormatting sqref="F9:F28">
    <cfRule type="colorScale" priority="1">
      <colorScale>
        <cfvo type="min"/>
        <cfvo type="max"/>
        <color rgb="FFFCFCFF"/>
        <color rgb="FFF8696B"/>
      </colorScale>
    </cfRule>
  </conditionalFormatting>
  <dataValidations count="2">
    <dataValidation type="list" allowBlank="1" showInputMessage="1" showErrorMessage="1" sqref="C3" xr:uid="{248DEA84-AE33-4BBB-B72B-325883EAFA31}">
      <formula1>Year_List</formula1>
    </dataValidation>
    <dataValidation type="list" allowBlank="1" showInputMessage="1" showErrorMessage="1" sqref="C4" xr:uid="{F7BCA76A-C0A2-4F94-9BA8-D8B12E256A4A}">
      <formula1>Month_List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1" r:id="rId3" name="Button 9">
              <controlPr defaultSize="0" print="0" autoFill="0" autoPict="0" macro="[0]!ThisWorkbook.GetTransactions">
                <anchor moveWithCells="1">
                  <from>
                    <xdr:col>7</xdr:col>
                    <xdr:colOff>28575</xdr:colOff>
                    <xdr:row>5</xdr:row>
                    <xdr:rowOff>47625</xdr:rowOff>
                  </from>
                  <to>
                    <xdr:col>8</xdr:col>
                    <xdr:colOff>590550</xdr:colOff>
                    <xdr:row>6</xdr:row>
                    <xdr:rowOff>57150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E4610CC6-773E-4EBC-994C-0A6B86EFC3F0}">
            <x14:dataBar minLength="0" maxLength="100" gradient="0">
              <x14:cfvo type="autoMin"/>
              <x14:cfvo type="autoMax"/>
              <x14:negativeFillColor rgb="FFFF0000"/>
              <x14:axisColor rgb="FF000000"/>
            </x14:dataBar>
          </x14:cfRule>
          <xm:sqref>E9:E28</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70AC3-639F-466C-A6A4-BA1CFD8E2418}">
  <sheetPr codeName="Sheet2"/>
  <dimension ref="B2:HL6"/>
  <sheetViews>
    <sheetView workbookViewId="0">
      <selection activeCell="D1048548" sqref="D1048548"/>
    </sheetView>
  </sheetViews>
  <sheetFormatPr defaultRowHeight="15" x14ac:dyDescent="0.25"/>
  <cols>
    <col min="2" max="2" width="10.85546875" bestFit="1" customWidth="1"/>
    <col min="3" max="3" width="8.85546875" bestFit="1" customWidth="1"/>
    <col min="5" max="5" width="14" bestFit="1" customWidth="1"/>
    <col min="6" max="6" width="14.85546875" bestFit="1" customWidth="1"/>
    <col min="7" max="7" width="11.5703125" bestFit="1" customWidth="1"/>
    <col min="8" max="8" width="13.140625" bestFit="1" customWidth="1"/>
    <col min="9" max="9" width="14.85546875" bestFit="1" customWidth="1"/>
    <col min="10" max="10" width="16.28515625" bestFit="1" customWidth="1"/>
    <col min="11" max="11" width="13.140625" bestFit="1" customWidth="1"/>
    <col min="12" max="12" width="14.85546875" bestFit="1" customWidth="1"/>
    <col min="13" max="218" width="16.28515625" bestFit="1" customWidth="1"/>
    <col min="219" max="220" width="12.7109375" bestFit="1" customWidth="1"/>
  </cols>
  <sheetData>
    <row r="2" spans="2:220" x14ac:dyDescent="0.25">
      <c r="B2" t="s">
        <v>57</v>
      </c>
      <c r="C2" t="s">
        <v>58</v>
      </c>
      <c r="D2" t="s">
        <v>61</v>
      </c>
    </row>
    <row r="3" spans="2:220" x14ac:dyDescent="0.25">
      <c r="B3" s="71" t="s">
        <v>53</v>
      </c>
      <c r="C3" s="71" t="s">
        <v>53</v>
      </c>
      <c r="D3" t="s">
        <v>53</v>
      </c>
      <c r="F3" s="27"/>
    </row>
    <row r="4" spans="2:220" x14ac:dyDescent="0.25">
      <c r="B4" t="s">
        <v>45</v>
      </c>
      <c r="C4" t="s">
        <v>45</v>
      </c>
      <c r="D4" t="s">
        <v>45</v>
      </c>
      <c r="L4" s="27"/>
    </row>
    <row r="5" spans="2:220" x14ac:dyDescent="0.25">
      <c r="D5" t="s">
        <v>6</v>
      </c>
    </row>
    <row r="6" spans="2:220" x14ac:dyDescent="0.25">
      <c r="J6" s="26"/>
      <c r="M6" s="26"/>
      <c r="N6" s="26"/>
      <c r="O6" s="26"/>
      <c r="P6" s="26"/>
      <c r="Q6" s="26"/>
      <c r="R6" s="26"/>
      <c r="S6" s="26"/>
      <c r="T6" s="26"/>
      <c r="U6" s="26"/>
      <c r="V6" s="26"/>
      <c r="W6" s="26"/>
      <c r="X6" s="26"/>
      <c r="Y6" s="26"/>
      <c r="Z6" s="26"/>
      <c r="AA6" s="26"/>
      <c r="AB6" s="26"/>
      <c r="AC6" s="26"/>
      <c r="AD6" s="26"/>
      <c r="AE6" s="26"/>
      <c r="AF6" s="26"/>
      <c r="AG6" s="26"/>
      <c r="AH6" s="26"/>
      <c r="AI6" s="26"/>
      <c r="AJ6" s="26"/>
      <c r="AK6" s="26"/>
      <c r="AL6" s="26"/>
      <c r="AM6" s="26"/>
      <c r="AN6" s="26"/>
      <c r="AO6" s="26"/>
      <c r="AP6" s="26"/>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c r="GQ6" s="26"/>
      <c r="GR6" s="26"/>
      <c r="GS6" s="26"/>
      <c r="GT6" s="26"/>
      <c r="GU6" s="26"/>
      <c r="GV6" s="26"/>
      <c r="GW6" s="26"/>
      <c r="GX6" s="26"/>
      <c r="GY6" s="26"/>
      <c r="GZ6" s="26"/>
      <c r="HA6" s="26"/>
      <c r="HB6" s="26"/>
      <c r="HC6" s="26"/>
      <c r="HD6" s="26"/>
      <c r="HE6" s="26"/>
      <c r="HF6" s="26"/>
      <c r="HG6" s="26"/>
      <c r="HH6" s="26"/>
      <c r="HI6" s="26"/>
      <c r="HJ6" s="26"/>
      <c r="HK6" s="26"/>
      <c r="HL6" s="26"/>
    </row>
  </sheetData>
  <sortState xmlns:xlrd2="http://schemas.microsoft.com/office/spreadsheetml/2017/richdata2" ref="C5:C7">
    <sortCondition descending="1" ref="C5:C1048576"/>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3903A-C05E-4368-BF96-D8C380B80D82}">
  <sheetPr codeName="Sheet9">
    <tabColor theme="5" tint="0.39997558519241921"/>
  </sheetPr>
  <dimension ref="A1:N157"/>
  <sheetViews>
    <sheetView showGridLines="0" workbookViewId="0">
      <pane ySplit="2" topLeftCell="A39" activePane="bottomLeft" state="frozen"/>
      <selection pane="bottomLeft" activeCell="K16" sqref="K16"/>
    </sheetView>
  </sheetViews>
  <sheetFormatPr defaultRowHeight="15" x14ac:dyDescent="0.25"/>
  <cols>
    <col min="1" max="1" width="10.5703125" customWidth="1"/>
    <col min="2" max="2" width="13.42578125" style="52" customWidth="1"/>
    <col min="3" max="3" width="12" style="2" customWidth="1"/>
    <col min="4" max="4" width="57.140625" customWidth="1"/>
    <col min="5" max="5" width="22.85546875" customWidth="1"/>
    <col min="6" max="7" width="19.85546875" customWidth="1"/>
    <col min="8" max="8" width="23.140625" customWidth="1"/>
    <col min="9" max="9" width="14.85546875" customWidth="1"/>
    <col min="10" max="10" width="18.42578125" customWidth="1"/>
    <col min="11" max="11" width="13.5703125" style="13" customWidth="1"/>
    <col min="12" max="12" width="41.7109375" customWidth="1"/>
    <col min="13" max="14" width="9.140625" hidden="1" customWidth="1"/>
  </cols>
  <sheetData>
    <row r="1" spans="1:14" x14ac:dyDescent="0.25">
      <c r="A1" s="98" t="str">
        <f>_xlfn.CONCAT('Main Tab'!C6, "'s Expenses")</f>
        <v>'s Expenses</v>
      </c>
      <c r="B1" s="99"/>
      <c r="C1" s="99"/>
      <c r="D1" s="99"/>
      <c r="E1" s="99"/>
      <c r="F1" s="99"/>
      <c r="G1" s="99"/>
      <c r="H1" s="99"/>
      <c r="I1" s="99"/>
      <c r="J1" s="99"/>
      <c r="K1" s="99"/>
      <c r="L1" s="100"/>
    </row>
    <row r="2" spans="1:14" ht="15.75" thickBot="1" x14ac:dyDescent="0.3">
      <c r="A2" s="8" t="s">
        <v>11</v>
      </c>
      <c r="B2" s="51" t="s">
        <v>3</v>
      </c>
      <c r="C2" s="9" t="s">
        <v>2</v>
      </c>
      <c r="D2" s="9" t="s">
        <v>5</v>
      </c>
      <c r="E2" s="9" t="s">
        <v>4</v>
      </c>
      <c r="F2" s="10" t="s">
        <v>6</v>
      </c>
      <c r="G2" s="10" t="s">
        <v>7</v>
      </c>
      <c r="H2" s="10" t="s">
        <v>0</v>
      </c>
      <c r="I2" s="10" t="s">
        <v>1</v>
      </c>
      <c r="J2" s="10" t="s">
        <v>16</v>
      </c>
      <c r="K2" s="12" t="s">
        <v>12</v>
      </c>
      <c r="L2" s="11" t="s">
        <v>15</v>
      </c>
      <c r="M2" s="28" t="s">
        <v>43</v>
      </c>
      <c r="N2" s="29" t="s">
        <v>78</v>
      </c>
    </row>
    <row r="3" spans="1:14" x14ac:dyDescent="0.25">
      <c r="A3">
        <v>1</v>
      </c>
      <c r="B3" s="52">
        <v>44311</v>
      </c>
      <c r="C3" s="2">
        <v>68.89</v>
      </c>
      <c r="D3" t="s">
        <v>89</v>
      </c>
      <c r="E3" t="s">
        <v>90</v>
      </c>
      <c r="F3" t="s">
        <v>204</v>
      </c>
      <c r="H3" t="s">
        <v>205</v>
      </c>
      <c r="I3" t="s">
        <v>205</v>
      </c>
      <c r="J3" t="s">
        <v>91</v>
      </c>
      <c r="K3" s="13">
        <v>44313</v>
      </c>
      <c r="L3" t="s">
        <v>88</v>
      </c>
      <c r="M3" t="str">
        <f t="shared" ref="M3:M66" si="0">TEXT(B3,"mmmm")</f>
        <v>April</v>
      </c>
      <c r="N3">
        <f t="shared" ref="N3:N66" si="1">YEAR(B3)</f>
        <v>2021</v>
      </c>
    </row>
    <row r="4" spans="1:14" x14ac:dyDescent="0.25">
      <c r="A4">
        <v>2</v>
      </c>
      <c r="B4" s="52">
        <v>44311</v>
      </c>
      <c r="C4" s="2">
        <v>16.43</v>
      </c>
      <c r="D4" t="s">
        <v>92</v>
      </c>
      <c r="E4" t="s">
        <v>90</v>
      </c>
      <c r="F4" t="s">
        <v>209</v>
      </c>
      <c r="H4" t="s">
        <v>205</v>
      </c>
      <c r="I4" t="s">
        <v>205</v>
      </c>
      <c r="J4" t="s">
        <v>91</v>
      </c>
      <c r="K4" s="13">
        <v>44313</v>
      </c>
      <c r="L4" t="s">
        <v>88</v>
      </c>
      <c r="M4" t="str">
        <f t="shared" si="0"/>
        <v>April</v>
      </c>
      <c r="N4">
        <f t="shared" si="1"/>
        <v>2021</v>
      </c>
    </row>
    <row r="5" spans="1:14" x14ac:dyDescent="0.25">
      <c r="A5">
        <v>3</v>
      </c>
      <c r="B5" s="52">
        <v>44310</v>
      </c>
      <c r="C5" s="2">
        <v>176.06</v>
      </c>
      <c r="D5" t="s">
        <v>93</v>
      </c>
      <c r="E5" t="s">
        <v>90</v>
      </c>
      <c r="F5" t="s">
        <v>209</v>
      </c>
      <c r="H5" t="s">
        <v>205</v>
      </c>
      <c r="I5" t="s">
        <v>205</v>
      </c>
      <c r="J5" t="s">
        <v>91</v>
      </c>
      <c r="K5" s="13">
        <v>44313</v>
      </c>
      <c r="L5" t="s">
        <v>88</v>
      </c>
      <c r="M5" t="str">
        <f t="shared" si="0"/>
        <v>April</v>
      </c>
      <c r="N5">
        <f t="shared" si="1"/>
        <v>2021</v>
      </c>
    </row>
    <row r="6" spans="1:14" x14ac:dyDescent="0.25">
      <c r="A6">
        <v>4</v>
      </c>
      <c r="B6" s="52">
        <v>44308</v>
      </c>
      <c r="C6" s="2">
        <v>151.91</v>
      </c>
      <c r="D6" t="s">
        <v>94</v>
      </c>
      <c r="E6" t="s">
        <v>90</v>
      </c>
      <c r="F6" t="s">
        <v>204</v>
      </c>
      <c r="H6" t="s">
        <v>205</v>
      </c>
      <c r="I6" t="s">
        <v>205</v>
      </c>
      <c r="J6" t="s">
        <v>91</v>
      </c>
      <c r="K6" s="13">
        <v>44313</v>
      </c>
      <c r="L6" t="s">
        <v>88</v>
      </c>
      <c r="M6" t="str">
        <f t="shared" si="0"/>
        <v>April</v>
      </c>
      <c r="N6">
        <f t="shared" si="1"/>
        <v>2021</v>
      </c>
    </row>
    <row r="7" spans="1:14" x14ac:dyDescent="0.25">
      <c r="A7">
        <v>5</v>
      </c>
      <c r="B7" s="52">
        <v>44307</v>
      </c>
      <c r="C7" s="2">
        <v>32.950000000000003</v>
      </c>
      <c r="D7" t="s">
        <v>95</v>
      </c>
      <c r="E7" t="s">
        <v>90</v>
      </c>
      <c r="F7" t="s">
        <v>208</v>
      </c>
      <c r="H7" t="s">
        <v>205</v>
      </c>
      <c r="I7" t="s">
        <v>205</v>
      </c>
      <c r="J7" t="s">
        <v>91</v>
      </c>
      <c r="K7" s="13">
        <v>44313</v>
      </c>
      <c r="L7" t="s">
        <v>88</v>
      </c>
      <c r="M7" t="str">
        <f t="shared" si="0"/>
        <v>April</v>
      </c>
      <c r="N7">
        <f t="shared" si="1"/>
        <v>2021</v>
      </c>
    </row>
    <row r="8" spans="1:14" x14ac:dyDescent="0.25">
      <c r="A8">
        <v>6</v>
      </c>
      <c r="B8" s="52">
        <v>44306</v>
      </c>
      <c r="C8" s="2">
        <v>91.95</v>
      </c>
      <c r="D8" t="s">
        <v>96</v>
      </c>
      <c r="E8" t="s">
        <v>90</v>
      </c>
      <c r="F8" t="s">
        <v>206</v>
      </c>
      <c r="H8" t="s">
        <v>205</v>
      </c>
      <c r="I8" t="s">
        <v>205</v>
      </c>
      <c r="J8" t="s">
        <v>91</v>
      </c>
      <c r="K8" s="13">
        <v>44313</v>
      </c>
      <c r="L8" t="s">
        <v>88</v>
      </c>
      <c r="M8" t="str">
        <f t="shared" si="0"/>
        <v>April</v>
      </c>
      <c r="N8">
        <f t="shared" si="1"/>
        <v>2021</v>
      </c>
    </row>
    <row r="9" spans="1:14" x14ac:dyDescent="0.25">
      <c r="A9">
        <v>7</v>
      </c>
      <c r="B9" s="52">
        <v>44305</v>
      </c>
      <c r="C9" s="2">
        <v>7.81</v>
      </c>
      <c r="D9" t="s">
        <v>97</v>
      </c>
      <c r="E9" t="s">
        <v>90</v>
      </c>
      <c r="F9" t="s">
        <v>209</v>
      </c>
      <c r="H9" t="s">
        <v>205</v>
      </c>
      <c r="I9" t="s">
        <v>205</v>
      </c>
      <c r="J9" t="s">
        <v>91</v>
      </c>
      <c r="K9" s="13">
        <v>44313</v>
      </c>
      <c r="L9" t="s">
        <v>88</v>
      </c>
      <c r="M9" t="str">
        <f t="shared" si="0"/>
        <v>April</v>
      </c>
      <c r="N9">
        <f t="shared" si="1"/>
        <v>2021</v>
      </c>
    </row>
    <row r="10" spans="1:14" x14ac:dyDescent="0.25">
      <c r="A10">
        <v>8</v>
      </c>
      <c r="B10" s="52">
        <v>44304</v>
      </c>
      <c r="C10" s="2">
        <v>80.81</v>
      </c>
      <c r="D10" t="s">
        <v>98</v>
      </c>
      <c r="E10" t="s">
        <v>90</v>
      </c>
      <c r="F10" t="s">
        <v>206</v>
      </c>
      <c r="H10" t="s">
        <v>205</v>
      </c>
      <c r="I10" t="s">
        <v>205</v>
      </c>
      <c r="J10" t="s">
        <v>91</v>
      </c>
      <c r="K10" s="13">
        <v>44313</v>
      </c>
      <c r="L10" t="s">
        <v>88</v>
      </c>
      <c r="M10" t="str">
        <f t="shared" si="0"/>
        <v>April</v>
      </c>
      <c r="N10">
        <f t="shared" si="1"/>
        <v>2021</v>
      </c>
    </row>
    <row r="11" spans="1:14" x14ac:dyDescent="0.25">
      <c r="A11">
        <v>9</v>
      </c>
      <c r="B11" s="52">
        <v>44303</v>
      </c>
      <c r="C11" s="2">
        <v>102.31</v>
      </c>
      <c r="D11" t="s">
        <v>92</v>
      </c>
      <c r="E11" t="s">
        <v>90</v>
      </c>
      <c r="F11" t="s">
        <v>209</v>
      </c>
      <c r="H11" t="s">
        <v>205</v>
      </c>
      <c r="I11" t="s">
        <v>205</v>
      </c>
      <c r="J11" t="s">
        <v>91</v>
      </c>
      <c r="K11" s="13">
        <v>44313</v>
      </c>
      <c r="L11" t="s">
        <v>88</v>
      </c>
      <c r="M11" t="str">
        <f t="shared" si="0"/>
        <v>April</v>
      </c>
      <c r="N11">
        <f t="shared" si="1"/>
        <v>2021</v>
      </c>
    </row>
    <row r="12" spans="1:14" x14ac:dyDescent="0.25">
      <c r="A12">
        <v>10</v>
      </c>
      <c r="B12" s="52">
        <v>44303</v>
      </c>
      <c r="C12" s="2">
        <v>58.5</v>
      </c>
      <c r="D12" t="s">
        <v>99</v>
      </c>
      <c r="E12" t="s">
        <v>90</v>
      </c>
      <c r="F12" t="s">
        <v>209</v>
      </c>
      <c r="H12" t="s">
        <v>205</v>
      </c>
      <c r="I12" t="s">
        <v>205</v>
      </c>
      <c r="J12" t="s">
        <v>91</v>
      </c>
      <c r="K12" s="13">
        <v>44313</v>
      </c>
      <c r="L12" t="s">
        <v>88</v>
      </c>
      <c r="M12" t="str">
        <f t="shared" si="0"/>
        <v>April</v>
      </c>
      <c r="N12">
        <f t="shared" si="1"/>
        <v>2021</v>
      </c>
    </row>
    <row r="13" spans="1:14" x14ac:dyDescent="0.25">
      <c r="A13">
        <v>11</v>
      </c>
      <c r="B13" s="52">
        <v>44302</v>
      </c>
      <c r="C13" s="2">
        <v>13.68</v>
      </c>
      <c r="D13" t="s">
        <v>100</v>
      </c>
      <c r="E13" t="s">
        <v>90</v>
      </c>
      <c r="F13" t="s">
        <v>207</v>
      </c>
      <c r="H13" t="s">
        <v>205</v>
      </c>
      <c r="I13" t="s">
        <v>205</v>
      </c>
      <c r="J13" t="s">
        <v>91</v>
      </c>
      <c r="K13" s="13">
        <v>44313</v>
      </c>
      <c r="L13" t="s">
        <v>88</v>
      </c>
      <c r="M13" t="str">
        <f t="shared" si="0"/>
        <v>April</v>
      </c>
      <c r="N13">
        <f t="shared" si="1"/>
        <v>2021</v>
      </c>
    </row>
    <row r="14" spans="1:14" x14ac:dyDescent="0.25">
      <c r="A14">
        <v>12</v>
      </c>
      <c r="B14" s="52">
        <v>44302</v>
      </c>
      <c r="C14" s="2">
        <v>30.14</v>
      </c>
      <c r="D14" t="s">
        <v>100</v>
      </c>
      <c r="E14" t="s">
        <v>90</v>
      </c>
      <c r="F14" t="s">
        <v>208</v>
      </c>
      <c r="H14" t="s">
        <v>205</v>
      </c>
      <c r="I14" t="s">
        <v>205</v>
      </c>
      <c r="J14" t="s">
        <v>91</v>
      </c>
      <c r="K14" s="13">
        <v>44313</v>
      </c>
      <c r="L14" t="s">
        <v>88</v>
      </c>
      <c r="M14" t="str">
        <f t="shared" si="0"/>
        <v>April</v>
      </c>
      <c r="N14">
        <f t="shared" si="1"/>
        <v>2021</v>
      </c>
    </row>
    <row r="15" spans="1:14" x14ac:dyDescent="0.25">
      <c r="A15">
        <v>13</v>
      </c>
      <c r="B15" s="52">
        <v>44302</v>
      </c>
      <c r="C15" s="2">
        <v>69</v>
      </c>
      <c r="D15" t="s">
        <v>101</v>
      </c>
      <c r="E15" t="s">
        <v>90</v>
      </c>
      <c r="F15" t="s">
        <v>208</v>
      </c>
      <c r="H15" t="s">
        <v>205</v>
      </c>
      <c r="I15" t="s">
        <v>205</v>
      </c>
      <c r="J15" t="s">
        <v>91</v>
      </c>
      <c r="K15" s="13">
        <v>44313</v>
      </c>
      <c r="L15" t="s">
        <v>88</v>
      </c>
      <c r="M15" t="str">
        <f t="shared" si="0"/>
        <v>April</v>
      </c>
      <c r="N15">
        <f t="shared" si="1"/>
        <v>2021</v>
      </c>
    </row>
    <row r="16" spans="1:14" x14ac:dyDescent="0.25">
      <c r="A16">
        <v>14</v>
      </c>
      <c r="B16" s="52">
        <v>44302</v>
      </c>
      <c r="C16" s="2">
        <v>139.88999999999999</v>
      </c>
      <c r="D16" t="s">
        <v>102</v>
      </c>
      <c r="E16" t="s">
        <v>90</v>
      </c>
      <c r="F16" t="s">
        <v>207</v>
      </c>
      <c r="H16" t="s">
        <v>205</v>
      </c>
      <c r="I16" t="s">
        <v>205</v>
      </c>
      <c r="J16" t="s">
        <v>91</v>
      </c>
      <c r="K16" s="13">
        <v>44313</v>
      </c>
      <c r="L16" t="s">
        <v>88</v>
      </c>
      <c r="M16" t="str">
        <f t="shared" si="0"/>
        <v>April</v>
      </c>
      <c r="N16">
        <f t="shared" si="1"/>
        <v>2021</v>
      </c>
    </row>
    <row r="17" spans="1:14" x14ac:dyDescent="0.25">
      <c r="A17">
        <v>15</v>
      </c>
      <c r="B17" s="52">
        <v>44302</v>
      </c>
      <c r="C17" s="2">
        <v>31.04</v>
      </c>
      <c r="D17" t="s">
        <v>103</v>
      </c>
      <c r="E17" t="s">
        <v>90</v>
      </c>
      <c r="F17" t="s">
        <v>208</v>
      </c>
      <c r="H17" t="s">
        <v>205</v>
      </c>
      <c r="I17" t="s">
        <v>205</v>
      </c>
      <c r="J17" t="s">
        <v>91</v>
      </c>
      <c r="K17" s="13">
        <v>44313</v>
      </c>
      <c r="L17" t="s">
        <v>88</v>
      </c>
      <c r="M17" t="str">
        <f t="shared" si="0"/>
        <v>April</v>
      </c>
      <c r="N17">
        <f t="shared" si="1"/>
        <v>2021</v>
      </c>
    </row>
    <row r="18" spans="1:14" x14ac:dyDescent="0.25">
      <c r="A18">
        <v>16</v>
      </c>
      <c r="B18" s="52">
        <v>44301</v>
      </c>
      <c r="C18" s="2">
        <v>43.33</v>
      </c>
      <c r="D18" t="s">
        <v>104</v>
      </c>
      <c r="E18" t="s">
        <v>90</v>
      </c>
      <c r="F18" t="s">
        <v>208</v>
      </c>
      <c r="H18" t="s">
        <v>205</v>
      </c>
      <c r="I18" t="s">
        <v>205</v>
      </c>
      <c r="J18" t="s">
        <v>91</v>
      </c>
      <c r="K18" s="13">
        <v>44313</v>
      </c>
      <c r="L18" t="s">
        <v>88</v>
      </c>
      <c r="M18" t="str">
        <f t="shared" si="0"/>
        <v>April</v>
      </c>
      <c r="N18">
        <f t="shared" si="1"/>
        <v>2021</v>
      </c>
    </row>
    <row r="19" spans="1:14" x14ac:dyDescent="0.25">
      <c r="A19">
        <v>17</v>
      </c>
      <c r="B19" s="52">
        <v>44300</v>
      </c>
      <c r="C19" s="2">
        <v>9.99</v>
      </c>
      <c r="D19" t="s">
        <v>105</v>
      </c>
      <c r="E19" t="s">
        <v>90</v>
      </c>
      <c r="F19" t="s">
        <v>204</v>
      </c>
      <c r="H19" t="s">
        <v>205</v>
      </c>
      <c r="I19" t="s">
        <v>205</v>
      </c>
      <c r="J19" t="s">
        <v>91</v>
      </c>
      <c r="K19" s="13">
        <v>44313</v>
      </c>
      <c r="L19" t="s">
        <v>88</v>
      </c>
      <c r="M19" t="str">
        <f t="shared" si="0"/>
        <v>April</v>
      </c>
      <c r="N19">
        <f t="shared" si="1"/>
        <v>2021</v>
      </c>
    </row>
    <row r="20" spans="1:14" x14ac:dyDescent="0.25">
      <c r="A20">
        <v>18</v>
      </c>
      <c r="B20" s="52">
        <v>44300</v>
      </c>
      <c r="C20" s="2">
        <v>0.06</v>
      </c>
      <c r="D20" t="s">
        <v>106</v>
      </c>
      <c r="E20" t="s">
        <v>90</v>
      </c>
      <c r="F20" t="s">
        <v>212</v>
      </c>
      <c r="H20" t="s">
        <v>205</v>
      </c>
      <c r="I20" t="s">
        <v>205</v>
      </c>
      <c r="J20" t="s">
        <v>91</v>
      </c>
      <c r="K20" s="13">
        <v>44313</v>
      </c>
      <c r="L20" t="s">
        <v>88</v>
      </c>
      <c r="M20" t="str">
        <f t="shared" si="0"/>
        <v>April</v>
      </c>
      <c r="N20">
        <f t="shared" si="1"/>
        <v>2021</v>
      </c>
    </row>
    <row r="21" spans="1:14" x14ac:dyDescent="0.25">
      <c r="A21">
        <v>19</v>
      </c>
      <c r="B21" s="52">
        <v>44298</v>
      </c>
      <c r="C21" s="2">
        <v>10.59</v>
      </c>
      <c r="D21" t="s">
        <v>107</v>
      </c>
      <c r="E21" t="s">
        <v>90</v>
      </c>
      <c r="F21" t="s">
        <v>204</v>
      </c>
      <c r="H21" t="s">
        <v>205</v>
      </c>
      <c r="I21" t="s">
        <v>205</v>
      </c>
      <c r="J21" t="s">
        <v>91</v>
      </c>
      <c r="K21" s="13">
        <v>44313</v>
      </c>
      <c r="L21" t="s">
        <v>88</v>
      </c>
      <c r="M21" t="str">
        <f t="shared" si="0"/>
        <v>April</v>
      </c>
      <c r="N21">
        <f t="shared" si="1"/>
        <v>2021</v>
      </c>
    </row>
    <row r="22" spans="1:14" x14ac:dyDescent="0.25">
      <c r="A22">
        <v>20</v>
      </c>
      <c r="B22" s="52">
        <v>44297</v>
      </c>
      <c r="C22" s="2">
        <v>35.5</v>
      </c>
      <c r="D22" t="s">
        <v>108</v>
      </c>
      <c r="E22" t="s">
        <v>90</v>
      </c>
      <c r="F22" t="s">
        <v>208</v>
      </c>
      <c r="H22" t="s">
        <v>205</v>
      </c>
      <c r="I22" t="s">
        <v>205</v>
      </c>
      <c r="J22" t="s">
        <v>91</v>
      </c>
      <c r="K22" s="13">
        <v>44313</v>
      </c>
      <c r="L22" t="s">
        <v>88</v>
      </c>
      <c r="M22" t="str">
        <f t="shared" si="0"/>
        <v>April</v>
      </c>
      <c r="N22">
        <f t="shared" si="1"/>
        <v>2021</v>
      </c>
    </row>
    <row r="23" spans="1:14" x14ac:dyDescent="0.25">
      <c r="A23">
        <v>21</v>
      </c>
      <c r="B23" s="52">
        <v>44296</v>
      </c>
      <c r="C23" s="2">
        <v>10.58</v>
      </c>
      <c r="D23" t="s">
        <v>109</v>
      </c>
      <c r="E23" t="s">
        <v>90</v>
      </c>
      <c r="F23" t="s">
        <v>79</v>
      </c>
      <c r="H23" t="s">
        <v>205</v>
      </c>
      <c r="I23" t="s">
        <v>205</v>
      </c>
      <c r="J23" t="s">
        <v>91</v>
      </c>
      <c r="K23" s="13">
        <v>44313</v>
      </c>
      <c r="L23" t="s">
        <v>88</v>
      </c>
      <c r="M23" t="str">
        <f t="shared" si="0"/>
        <v>April</v>
      </c>
      <c r="N23">
        <f t="shared" si="1"/>
        <v>2021</v>
      </c>
    </row>
    <row r="24" spans="1:14" x14ac:dyDescent="0.25">
      <c r="A24">
        <v>22</v>
      </c>
      <c r="B24" s="52">
        <v>44296</v>
      </c>
      <c r="C24" s="2">
        <v>41.25</v>
      </c>
      <c r="D24" t="s">
        <v>110</v>
      </c>
      <c r="E24" t="s">
        <v>90</v>
      </c>
      <c r="F24" t="s">
        <v>206</v>
      </c>
      <c r="H24" t="s">
        <v>205</v>
      </c>
      <c r="I24" t="s">
        <v>205</v>
      </c>
      <c r="J24" t="s">
        <v>91</v>
      </c>
      <c r="K24" s="13">
        <v>44313</v>
      </c>
      <c r="L24" t="s">
        <v>88</v>
      </c>
      <c r="M24" t="str">
        <f t="shared" si="0"/>
        <v>April</v>
      </c>
      <c r="N24">
        <f t="shared" si="1"/>
        <v>2021</v>
      </c>
    </row>
    <row r="25" spans="1:14" x14ac:dyDescent="0.25">
      <c r="A25">
        <v>23</v>
      </c>
      <c r="B25" s="52">
        <v>44295</v>
      </c>
      <c r="C25" s="2">
        <v>81.78</v>
      </c>
      <c r="D25" t="s">
        <v>111</v>
      </c>
      <c r="E25" t="s">
        <v>90</v>
      </c>
      <c r="F25" t="s">
        <v>79</v>
      </c>
      <c r="H25" t="s">
        <v>205</v>
      </c>
      <c r="I25" t="s">
        <v>205</v>
      </c>
      <c r="J25" t="s">
        <v>91</v>
      </c>
      <c r="K25" s="13">
        <v>44313</v>
      </c>
      <c r="L25" t="s">
        <v>88</v>
      </c>
      <c r="M25" t="str">
        <f t="shared" si="0"/>
        <v>April</v>
      </c>
      <c r="N25">
        <f t="shared" si="1"/>
        <v>2021</v>
      </c>
    </row>
    <row r="26" spans="1:14" x14ac:dyDescent="0.25">
      <c r="A26">
        <v>24</v>
      </c>
      <c r="B26" s="52">
        <v>44295</v>
      </c>
      <c r="C26" s="2">
        <v>29</v>
      </c>
      <c r="D26" t="s">
        <v>112</v>
      </c>
      <c r="E26" t="s">
        <v>90</v>
      </c>
      <c r="F26" t="s">
        <v>212</v>
      </c>
      <c r="H26" t="s">
        <v>205</v>
      </c>
      <c r="I26" t="s">
        <v>205</v>
      </c>
      <c r="J26" t="s">
        <v>91</v>
      </c>
      <c r="K26" s="13">
        <v>44313</v>
      </c>
      <c r="L26" t="s">
        <v>88</v>
      </c>
      <c r="M26" t="str">
        <f t="shared" si="0"/>
        <v>April</v>
      </c>
      <c r="N26">
        <f t="shared" si="1"/>
        <v>2021</v>
      </c>
    </row>
    <row r="27" spans="1:14" x14ac:dyDescent="0.25">
      <c r="A27">
        <v>25</v>
      </c>
      <c r="B27" s="52">
        <v>44294</v>
      </c>
      <c r="C27" s="2">
        <v>30</v>
      </c>
      <c r="D27" t="s">
        <v>113</v>
      </c>
      <c r="E27" t="s">
        <v>90</v>
      </c>
      <c r="F27" t="s">
        <v>79</v>
      </c>
      <c r="H27" t="s">
        <v>205</v>
      </c>
      <c r="I27" t="s">
        <v>205</v>
      </c>
      <c r="J27" t="s">
        <v>91</v>
      </c>
      <c r="K27" s="13">
        <v>44313</v>
      </c>
      <c r="L27" t="s">
        <v>88</v>
      </c>
      <c r="M27" t="str">
        <f t="shared" si="0"/>
        <v>April</v>
      </c>
      <c r="N27">
        <f t="shared" si="1"/>
        <v>2021</v>
      </c>
    </row>
    <row r="28" spans="1:14" x14ac:dyDescent="0.25">
      <c r="A28">
        <v>26</v>
      </c>
      <c r="B28" s="52">
        <v>44291</v>
      </c>
      <c r="C28" s="2">
        <v>99</v>
      </c>
      <c r="D28" t="s">
        <v>114</v>
      </c>
      <c r="E28" t="s">
        <v>90</v>
      </c>
      <c r="F28" t="s">
        <v>210</v>
      </c>
      <c r="H28" t="s">
        <v>205</v>
      </c>
      <c r="I28" t="s">
        <v>205</v>
      </c>
      <c r="J28" t="s">
        <v>91</v>
      </c>
      <c r="K28" s="13">
        <v>44313</v>
      </c>
      <c r="L28" t="s">
        <v>88</v>
      </c>
      <c r="M28" t="str">
        <f t="shared" si="0"/>
        <v>April</v>
      </c>
      <c r="N28">
        <f t="shared" si="1"/>
        <v>2021</v>
      </c>
    </row>
    <row r="29" spans="1:14" x14ac:dyDescent="0.25">
      <c r="A29">
        <v>27</v>
      </c>
      <c r="B29" s="52">
        <v>44289</v>
      </c>
      <c r="C29" s="2">
        <v>34.18</v>
      </c>
      <c r="D29" t="s">
        <v>115</v>
      </c>
      <c r="E29" t="s">
        <v>90</v>
      </c>
      <c r="F29" t="s">
        <v>208</v>
      </c>
      <c r="H29" t="s">
        <v>205</v>
      </c>
      <c r="I29" t="s">
        <v>205</v>
      </c>
      <c r="J29" t="s">
        <v>91</v>
      </c>
      <c r="K29" s="13">
        <v>44313</v>
      </c>
      <c r="L29" t="s">
        <v>88</v>
      </c>
      <c r="M29" t="str">
        <f t="shared" si="0"/>
        <v>April</v>
      </c>
      <c r="N29">
        <f t="shared" si="1"/>
        <v>2021</v>
      </c>
    </row>
    <row r="30" spans="1:14" x14ac:dyDescent="0.25">
      <c r="A30">
        <v>28</v>
      </c>
      <c r="B30" s="52">
        <v>44287</v>
      </c>
      <c r="C30" s="2">
        <v>11.57</v>
      </c>
      <c r="D30" t="s">
        <v>116</v>
      </c>
      <c r="E30" t="s">
        <v>90</v>
      </c>
      <c r="F30" t="s">
        <v>207</v>
      </c>
      <c r="H30" t="s">
        <v>205</v>
      </c>
      <c r="I30" t="s">
        <v>205</v>
      </c>
      <c r="J30" t="s">
        <v>91</v>
      </c>
      <c r="K30" s="13">
        <v>44313</v>
      </c>
      <c r="L30" t="s">
        <v>88</v>
      </c>
      <c r="M30" t="str">
        <f t="shared" si="0"/>
        <v>April</v>
      </c>
      <c r="N30">
        <f t="shared" si="1"/>
        <v>2021</v>
      </c>
    </row>
    <row r="31" spans="1:14" x14ac:dyDescent="0.25">
      <c r="A31">
        <v>29</v>
      </c>
      <c r="B31" s="52">
        <v>44284</v>
      </c>
      <c r="C31" s="2">
        <v>60.38</v>
      </c>
      <c r="D31" t="s">
        <v>117</v>
      </c>
      <c r="E31" t="s">
        <v>90</v>
      </c>
      <c r="F31" t="s">
        <v>206</v>
      </c>
      <c r="H31" t="s">
        <v>205</v>
      </c>
      <c r="I31" t="s">
        <v>205</v>
      </c>
      <c r="J31" t="s">
        <v>91</v>
      </c>
      <c r="K31" s="13">
        <v>44313</v>
      </c>
      <c r="L31" t="s">
        <v>88</v>
      </c>
      <c r="M31" t="str">
        <f t="shared" si="0"/>
        <v>March</v>
      </c>
      <c r="N31">
        <f t="shared" si="1"/>
        <v>2021</v>
      </c>
    </row>
    <row r="32" spans="1:14" x14ac:dyDescent="0.25">
      <c r="A32">
        <v>30</v>
      </c>
      <c r="B32" s="52">
        <v>44281</v>
      </c>
      <c r="C32" s="2">
        <v>9.09</v>
      </c>
      <c r="D32" t="s">
        <v>118</v>
      </c>
      <c r="E32" t="s">
        <v>90</v>
      </c>
      <c r="F32" t="s">
        <v>207</v>
      </c>
      <c r="H32" t="s">
        <v>205</v>
      </c>
      <c r="I32" t="s">
        <v>205</v>
      </c>
      <c r="J32" t="s">
        <v>91</v>
      </c>
      <c r="K32" s="13">
        <v>44313</v>
      </c>
      <c r="L32" t="s">
        <v>88</v>
      </c>
      <c r="M32" t="str">
        <f t="shared" si="0"/>
        <v>March</v>
      </c>
      <c r="N32">
        <f t="shared" si="1"/>
        <v>2021</v>
      </c>
    </row>
    <row r="33" spans="1:14" x14ac:dyDescent="0.25">
      <c r="A33">
        <v>31</v>
      </c>
      <c r="B33" s="52">
        <v>44281</v>
      </c>
      <c r="C33" s="2">
        <v>35.950000000000003</v>
      </c>
      <c r="D33" t="s">
        <v>119</v>
      </c>
      <c r="E33" t="s">
        <v>90</v>
      </c>
      <c r="F33" t="s">
        <v>208</v>
      </c>
      <c r="H33" t="s">
        <v>205</v>
      </c>
      <c r="I33" t="s">
        <v>205</v>
      </c>
      <c r="J33" t="s">
        <v>91</v>
      </c>
      <c r="K33" s="13">
        <v>44313</v>
      </c>
      <c r="L33" t="s">
        <v>88</v>
      </c>
      <c r="M33" t="str">
        <f t="shared" si="0"/>
        <v>March</v>
      </c>
      <c r="N33">
        <f t="shared" si="1"/>
        <v>2021</v>
      </c>
    </row>
    <row r="34" spans="1:14" x14ac:dyDescent="0.25">
      <c r="A34">
        <v>32</v>
      </c>
      <c r="B34" s="52">
        <v>44280</v>
      </c>
      <c r="C34" s="2">
        <v>68.89</v>
      </c>
      <c r="D34" t="s">
        <v>89</v>
      </c>
      <c r="E34" t="s">
        <v>90</v>
      </c>
      <c r="F34" t="s">
        <v>204</v>
      </c>
      <c r="H34" t="s">
        <v>205</v>
      </c>
      <c r="I34" t="s">
        <v>205</v>
      </c>
      <c r="J34" t="s">
        <v>91</v>
      </c>
      <c r="K34" s="13">
        <v>44313</v>
      </c>
      <c r="L34" t="s">
        <v>88</v>
      </c>
      <c r="M34" t="str">
        <f t="shared" si="0"/>
        <v>March</v>
      </c>
      <c r="N34">
        <f t="shared" si="1"/>
        <v>2021</v>
      </c>
    </row>
    <row r="35" spans="1:14" x14ac:dyDescent="0.25">
      <c r="A35">
        <v>33</v>
      </c>
      <c r="B35" s="52">
        <v>44280</v>
      </c>
      <c r="C35" s="2">
        <v>38.36</v>
      </c>
      <c r="D35" t="s">
        <v>120</v>
      </c>
      <c r="E35" t="s">
        <v>90</v>
      </c>
      <c r="F35" t="s">
        <v>208</v>
      </c>
      <c r="H35" t="s">
        <v>205</v>
      </c>
      <c r="I35" t="s">
        <v>205</v>
      </c>
      <c r="J35" t="s">
        <v>91</v>
      </c>
      <c r="K35" s="13">
        <v>44313</v>
      </c>
      <c r="L35" t="s">
        <v>88</v>
      </c>
      <c r="M35" t="str">
        <f t="shared" si="0"/>
        <v>March</v>
      </c>
      <c r="N35">
        <f t="shared" si="1"/>
        <v>2021</v>
      </c>
    </row>
    <row r="36" spans="1:14" x14ac:dyDescent="0.25">
      <c r="A36">
        <v>34</v>
      </c>
      <c r="B36" s="52">
        <v>44280</v>
      </c>
      <c r="C36" s="2">
        <v>27.2</v>
      </c>
      <c r="D36" t="s">
        <v>110</v>
      </c>
      <c r="E36" t="s">
        <v>90</v>
      </c>
      <c r="F36" t="s">
        <v>207</v>
      </c>
      <c r="H36" t="s">
        <v>205</v>
      </c>
      <c r="I36" t="s">
        <v>205</v>
      </c>
      <c r="J36" t="s">
        <v>91</v>
      </c>
      <c r="K36" s="13">
        <v>44313</v>
      </c>
      <c r="L36" t="s">
        <v>88</v>
      </c>
      <c r="M36" t="str">
        <f t="shared" si="0"/>
        <v>March</v>
      </c>
      <c r="N36">
        <f t="shared" si="1"/>
        <v>2021</v>
      </c>
    </row>
    <row r="37" spans="1:14" x14ac:dyDescent="0.25">
      <c r="A37">
        <v>35</v>
      </c>
      <c r="B37" s="52">
        <v>44277</v>
      </c>
      <c r="C37" s="2">
        <v>52.77</v>
      </c>
      <c r="D37" t="s">
        <v>117</v>
      </c>
      <c r="E37" t="s">
        <v>90</v>
      </c>
      <c r="F37" t="s">
        <v>206</v>
      </c>
      <c r="H37" t="s">
        <v>205</v>
      </c>
      <c r="I37" t="s">
        <v>205</v>
      </c>
      <c r="J37" t="s">
        <v>91</v>
      </c>
      <c r="K37" s="13">
        <v>44313</v>
      </c>
      <c r="L37" t="s">
        <v>88</v>
      </c>
      <c r="M37" t="str">
        <f t="shared" si="0"/>
        <v>March</v>
      </c>
      <c r="N37">
        <f t="shared" si="1"/>
        <v>2021</v>
      </c>
    </row>
    <row r="38" spans="1:14" x14ac:dyDescent="0.25">
      <c r="A38">
        <v>36</v>
      </c>
      <c r="B38" s="52">
        <v>44274</v>
      </c>
      <c r="C38" s="2">
        <v>51.84</v>
      </c>
      <c r="D38" t="s">
        <v>121</v>
      </c>
      <c r="E38" t="s">
        <v>90</v>
      </c>
      <c r="F38" t="s">
        <v>79</v>
      </c>
      <c r="H38" t="s">
        <v>205</v>
      </c>
      <c r="I38" t="s">
        <v>205</v>
      </c>
      <c r="J38" t="s">
        <v>91</v>
      </c>
      <c r="K38" s="13">
        <v>44313</v>
      </c>
      <c r="L38" t="s">
        <v>88</v>
      </c>
      <c r="M38" t="str">
        <f t="shared" si="0"/>
        <v>March</v>
      </c>
      <c r="N38">
        <f t="shared" si="1"/>
        <v>2021</v>
      </c>
    </row>
    <row r="39" spans="1:14" x14ac:dyDescent="0.25">
      <c r="A39">
        <v>37</v>
      </c>
      <c r="B39" s="52">
        <v>44274</v>
      </c>
      <c r="C39" s="2">
        <v>39.64</v>
      </c>
      <c r="D39" t="s">
        <v>122</v>
      </c>
      <c r="E39" t="s">
        <v>90</v>
      </c>
      <c r="F39" t="s">
        <v>208</v>
      </c>
      <c r="H39" t="s">
        <v>205</v>
      </c>
      <c r="I39" t="s">
        <v>205</v>
      </c>
      <c r="J39" t="s">
        <v>91</v>
      </c>
      <c r="K39" s="13">
        <v>44313</v>
      </c>
      <c r="L39" t="s">
        <v>88</v>
      </c>
      <c r="M39" t="str">
        <f t="shared" si="0"/>
        <v>March</v>
      </c>
      <c r="N39">
        <f t="shared" si="1"/>
        <v>2021</v>
      </c>
    </row>
    <row r="40" spans="1:14" x14ac:dyDescent="0.25">
      <c r="A40">
        <v>38</v>
      </c>
      <c r="B40" s="52">
        <v>44273</v>
      </c>
      <c r="C40" s="2">
        <v>21.73</v>
      </c>
      <c r="D40" t="s">
        <v>123</v>
      </c>
      <c r="E40" t="s">
        <v>90</v>
      </c>
      <c r="F40" t="s">
        <v>206</v>
      </c>
      <c r="H40" t="s">
        <v>205</v>
      </c>
      <c r="I40" t="s">
        <v>205</v>
      </c>
      <c r="J40" t="s">
        <v>91</v>
      </c>
      <c r="K40" s="13">
        <v>44313</v>
      </c>
      <c r="L40" t="s">
        <v>88</v>
      </c>
      <c r="M40" t="str">
        <f t="shared" si="0"/>
        <v>March</v>
      </c>
      <c r="N40">
        <f t="shared" si="1"/>
        <v>2021</v>
      </c>
    </row>
    <row r="41" spans="1:14" x14ac:dyDescent="0.25">
      <c r="A41">
        <v>39</v>
      </c>
      <c r="B41" s="52">
        <v>44271</v>
      </c>
      <c r="C41" s="2">
        <v>17.55</v>
      </c>
      <c r="D41" t="s">
        <v>116</v>
      </c>
      <c r="E41" t="s">
        <v>90</v>
      </c>
      <c r="F41" t="s">
        <v>206</v>
      </c>
      <c r="H41" t="s">
        <v>205</v>
      </c>
      <c r="I41" t="s">
        <v>205</v>
      </c>
      <c r="J41" t="s">
        <v>91</v>
      </c>
      <c r="K41" s="13">
        <v>44313</v>
      </c>
      <c r="L41" t="s">
        <v>88</v>
      </c>
      <c r="M41" t="str">
        <f t="shared" si="0"/>
        <v>March</v>
      </c>
      <c r="N41">
        <f t="shared" si="1"/>
        <v>2021</v>
      </c>
    </row>
    <row r="42" spans="1:14" x14ac:dyDescent="0.25">
      <c r="A42">
        <v>40</v>
      </c>
      <c r="B42" s="52">
        <v>44269</v>
      </c>
      <c r="C42" s="2">
        <v>85.5</v>
      </c>
      <c r="D42" t="s">
        <v>116</v>
      </c>
      <c r="E42" t="s">
        <v>90</v>
      </c>
      <c r="F42" t="s">
        <v>206</v>
      </c>
      <c r="H42" t="s">
        <v>205</v>
      </c>
      <c r="I42" t="s">
        <v>205</v>
      </c>
      <c r="J42" t="s">
        <v>91</v>
      </c>
      <c r="K42" s="13">
        <v>44313</v>
      </c>
      <c r="L42" t="s">
        <v>88</v>
      </c>
      <c r="M42" t="str">
        <f t="shared" si="0"/>
        <v>March</v>
      </c>
      <c r="N42">
        <f t="shared" si="1"/>
        <v>2021</v>
      </c>
    </row>
    <row r="43" spans="1:14" x14ac:dyDescent="0.25">
      <c r="A43">
        <v>41</v>
      </c>
      <c r="B43" s="52">
        <v>44267</v>
      </c>
      <c r="C43" s="2">
        <v>76.83</v>
      </c>
      <c r="D43" t="s">
        <v>124</v>
      </c>
      <c r="E43" t="s">
        <v>90</v>
      </c>
      <c r="F43" t="s">
        <v>206</v>
      </c>
      <c r="H43" t="s">
        <v>205</v>
      </c>
      <c r="I43" t="s">
        <v>205</v>
      </c>
      <c r="J43" t="s">
        <v>91</v>
      </c>
      <c r="K43" s="13">
        <v>44313</v>
      </c>
      <c r="L43" t="s">
        <v>88</v>
      </c>
      <c r="M43" t="str">
        <f t="shared" si="0"/>
        <v>March</v>
      </c>
      <c r="N43">
        <f t="shared" si="1"/>
        <v>2021</v>
      </c>
    </row>
    <row r="44" spans="1:14" x14ac:dyDescent="0.25">
      <c r="A44">
        <v>42</v>
      </c>
      <c r="B44" s="52">
        <v>44267</v>
      </c>
      <c r="C44" s="2">
        <v>10.59</v>
      </c>
      <c r="D44" t="s">
        <v>107</v>
      </c>
      <c r="E44" t="s">
        <v>90</v>
      </c>
      <c r="F44" t="s">
        <v>204</v>
      </c>
      <c r="H44" t="s">
        <v>205</v>
      </c>
      <c r="I44" t="s">
        <v>205</v>
      </c>
      <c r="J44" t="s">
        <v>91</v>
      </c>
      <c r="K44" s="13">
        <v>44313</v>
      </c>
      <c r="L44" t="s">
        <v>88</v>
      </c>
      <c r="M44" t="str">
        <f t="shared" si="0"/>
        <v>March</v>
      </c>
      <c r="N44">
        <f t="shared" si="1"/>
        <v>2021</v>
      </c>
    </row>
    <row r="45" spans="1:14" x14ac:dyDescent="0.25">
      <c r="A45">
        <v>43</v>
      </c>
      <c r="B45" s="52">
        <v>44261</v>
      </c>
      <c r="C45" s="2">
        <v>61.34</v>
      </c>
      <c r="D45" t="s">
        <v>116</v>
      </c>
      <c r="E45" t="s">
        <v>90</v>
      </c>
      <c r="F45" t="s">
        <v>206</v>
      </c>
      <c r="H45" t="s">
        <v>205</v>
      </c>
      <c r="I45" t="s">
        <v>205</v>
      </c>
      <c r="J45" t="s">
        <v>91</v>
      </c>
      <c r="K45" s="13">
        <v>44313</v>
      </c>
      <c r="L45" t="s">
        <v>88</v>
      </c>
      <c r="M45" t="str">
        <f t="shared" si="0"/>
        <v>March</v>
      </c>
      <c r="N45">
        <f t="shared" si="1"/>
        <v>2021</v>
      </c>
    </row>
    <row r="46" spans="1:14" x14ac:dyDescent="0.25">
      <c r="A46">
        <v>44</v>
      </c>
      <c r="B46" s="52">
        <v>44260</v>
      </c>
      <c r="C46" s="2">
        <v>99</v>
      </c>
      <c r="D46" t="s">
        <v>114</v>
      </c>
      <c r="E46" t="s">
        <v>90</v>
      </c>
      <c r="F46" t="s">
        <v>210</v>
      </c>
      <c r="H46" t="s">
        <v>205</v>
      </c>
      <c r="I46" t="s">
        <v>205</v>
      </c>
      <c r="J46" t="s">
        <v>91</v>
      </c>
      <c r="K46" s="13">
        <v>44313</v>
      </c>
      <c r="L46" t="s">
        <v>88</v>
      </c>
      <c r="M46" t="str">
        <f t="shared" si="0"/>
        <v>March</v>
      </c>
      <c r="N46">
        <f t="shared" si="1"/>
        <v>2021</v>
      </c>
    </row>
    <row r="47" spans="1:14" x14ac:dyDescent="0.25">
      <c r="A47">
        <v>45</v>
      </c>
      <c r="B47" s="52">
        <v>44260</v>
      </c>
      <c r="C47" s="2">
        <v>38.25</v>
      </c>
      <c r="D47" t="s">
        <v>125</v>
      </c>
      <c r="E47" t="s">
        <v>90</v>
      </c>
      <c r="F47" t="s">
        <v>208</v>
      </c>
      <c r="H47" t="s">
        <v>205</v>
      </c>
      <c r="I47" t="s">
        <v>205</v>
      </c>
      <c r="J47" t="s">
        <v>91</v>
      </c>
      <c r="K47" s="13">
        <v>44313</v>
      </c>
      <c r="L47" t="s">
        <v>88</v>
      </c>
      <c r="M47" t="str">
        <f t="shared" si="0"/>
        <v>March</v>
      </c>
      <c r="N47">
        <f t="shared" si="1"/>
        <v>2021</v>
      </c>
    </row>
    <row r="48" spans="1:14" x14ac:dyDescent="0.25">
      <c r="A48">
        <v>46</v>
      </c>
      <c r="B48" s="52">
        <v>44256</v>
      </c>
      <c r="C48" s="2">
        <v>94.5</v>
      </c>
      <c r="D48" t="s">
        <v>126</v>
      </c>
      <c r="E48" t="s">
        <v>90</v>
      </c>
      <c r="F48" t="s">
        <v>79</v>
      </c>
      <c r="H48" t="s">
        <v>205</v>
      </c>
      <c r="I48" t="s">
        <v>205</v>
      </c>
      <c r="J48" t="s">
        <v>91</v>
      </c>
      <c r="K48" s="13">
        <v>44313</v>
      </c>
      <c r="L48" t="s">
        <v>88</v>
      </c>
      <c r="M48" t="str">
        <f t="shared" si="0"/>
        <v>March</v>
      </c>
      <c r="N48">
        <f t="shared" si="1"/>
        <v>2021</v>
      </c>
    </row>
    <row r="49" spans="1:14" x14ac:dyDescent="0.25">
      <c r="A49">
        <v>47</v>
      </c>
      <c r="B49" s="52">
        <v>44255</v>
      </c>
      <c r="C49" s="2">
        <v>68.27</v>
      </c>
      <c r="D49" t="s">
        <v>127</v>
      </c>
      <c r="E49" t="s">
        <v>90</v>
      </c>
      <c r="F49" t="s">
        <v>206</v>
      </c>
      <c r="H49" t="s">
        <v>205</v>
      </c>
      <c r="I49" t="s">
        <v>205</v>
      </c>
      <c r="J49" t="s">
        <v>91</v>
      </c>
      <c r="K49" s="13">
        <v>44313</v>
      </c>
      <c r="L49" t="s">
        <v>88</v>
      </c>
      <c r="M49" t="str">
        <f t="shared" si="0"/>
        <v>February</v>
      </c>
      <c r="N49">
        <f t="shared" si="1"/>
        <v>2021</v>
      </c>
    </row>
    <row r="50" spans="1:14" x14ac:dyDescent="0.25">
      <c r="A50">
        <v>48</v>
      </c>
      <c r="B50" s="52">
        <v>44252</v>
      </c>
      <c r="C50" s="2">
        <v>68.89</v>
      </c>
      <c r="D50" t="s">
        <v>128</v>
      </c>
      <c r="E50" t="s">
        <v>90</v>
      </c>
      <c r="F50" t="s">
        <v>204</v>
      </c>
      <c r="H50" t="s">
        <v>205</v>
      </c>
      <c r="I50" t="s">
        <v>205</v>
      </c>
      <c r="J50" t="s">
        <v>91</v>
      </c>
      <c r="K50" s="13">
        <v>44313</v>
      </c>
      <c r="L50" t="s">
        <v>88</v>
      </c>
      <c r="M50" t="str">
        <f t="shared" si="0"/>
        <v>February</v>
      </c>
      <c r="N50">
        <f t="shared" si="1"/>
        <v>2021</v>
      </c>
    </row>
    <row r="51" spans="1:14" x14ac:dyDescent="0.25">
      <c r="A51">
        <v>49</v>
      </c>
      <c r="B51" s="52">
        <v>44248</v>
      </c>
      <c r="C51" s="2">
        <v>57.84</v>
      </c>
      <c r="D51" t="s">
        <v>116</v>
      </c>
      <c r="E51" t="s">
        <v>90</v>
      </c>
      <c r="F51" t="s">
        <v>206</v>
      </c>
      <c r="H51" t="s">
        <v>205</v>
      </c>
      <c r="I51" t="s">
        <v>205</v>
      </c>
      <c r="J51" t="s">
        <v>91</v>
      </c>
      <c r="K51" s="13">
        <v>44313</v>
      </c>
      <c r="L51" t="s">
        <v>88</v>
      </c>
      <c r="M51" t="str">
        <f t="shared" si="0"/>
        <v>February</v>
      </c>
      <c r="N51">
        <f t="shared" si="1"/>
        <v>2021</v>
      </c>
    </row>
    <row r="52" spans="1:14" x14ac:dyDescent="0.25">
      <c r="A52">
        <v>50</v>
      </c>
      <c r="B52" s="52">
        <v>44247</v>
      </c>
      <c r="C52" s="2">
        <v>21.09</v>
      </c>
      <c r="D52" t="s">
        <v>110</v>
      </c>
      <c r="E52" t="s">
        <v>90</v>
      </c>
      <c r="F52" t="s">
        <v>206</v>
      </c>
      <c r="H52" t="s">
        <v>205</v>
      </c>
      <c r="I52" t="s">
        <v>205</v>
      </c>
      <c r="J52" t="s">
        <v>91</v>
      </c>
      <c r="K52" s="13">
        <v>44313</v>
      </c>
      <c r="L52" t="s">
        <v>88</v>
      </c>
      <c r="M52" t="str">
        <f t="shared" si="0"/>
        <v>February</v>
      </c>
      <c r="N52">
        <f t="shared" si="1"/>
        <v>2021</v>
      </c>
    </row>
    <row r="53" spans="1:14" x14ac:dyDescent="0.25">
      <c r="A53">
        <v>51</v>
      </c>
      <c r="B53" s="52">
        <v>44246</v>
      </c>
      <c r="C53" s="2">
        <v>64.91</v>
      </c>
      <c r="D53" t="s">
        <v>124</v>
      </c>
      <c r="E53" t="s">
        <v>90</v>
      </c>
      <c r="F53" t="s">
        <v>206</v>
      </c>
      <c r="H53" t="s">
        <v>205</v>
      </c>
      <c r="I53" t="s">
        <v>205</v>
      </c>
      <c r="J53" t="s">
        <v>91</v>
      </c>
      <c r="K53" s="13">
        <v>44313</v>
      </c>
      <c r="L53" t="s">
        <v>88</v>
      </c>
      <c r="M53" t="str">
        <f t="shared" si="0"/>
        <v>February</v>
      </c>
      <c r="N53">
        <f t="shared" si="1"/>
        <v>2021</v>
      </c>
    </row>
    <row r="54" spans="1:14" x14ac:dyDescent="0.25">
      <c r="A54">
        <v>52</v>
      </c>
      <c r="B54" s="52">
        <v>44246</v>
      </c>
      <c r="C54" s="2">
        <v>34.78</v>
      </c>
      <c r="D54" t="s">
        <v>129</v>
      </c>
      <c r="E54" t="s">
        <v>90</v>
      </c>
      <c r="F54" t="s">
        <v>208</v>
      </c>
      <c r="H54" t="s">
        <v>205</v>
      </c>
      <c r="I54" t="s">
        <v>205</v>
      </c>
      <c r="J54" t="s">
        <v>91</v>
      </c>
      <c r="K54" s="13">
        <v>44313</v>
      </c>
      <c r="L54" t="s">
        <v>88</v>
      </c>
      <c r="M54" t="str">
        <f t="shared" si="0"/>
        <v>February</v>
      </c>
      <c r="N54">
        <f t="shared" si="1"/>
        <v>2021</v>
      </c>
    </row>
    <row r="55" spans="1:14" x14ac:dyDescent="0.25">
      <c r="A55">
        <v>53</v>
      </c>
      <c r="B55" s="52">
        <v>44245</v>
      </c>
      <c r="C55" s="2">
        <v>44.04</v>
      </c>
      <c r="D55" t="s">
        <v>130</v>
      </c>
      <c r="E55" t="s">
        <v>90</v>
      </c>
      <c r="F55" t="s">
        <v>208</v>
      </c>
      <c r="H55" t="s">
        <v>205</v>
      </c>
      <c r="I55" t="s">
        <v>205</v>
      </c>
      <c r="J55" t="s">
        <v>91</v>
      </c>
      <c r="K55" s="13">
        <v>44313</v>
      </c>
      <c r="L55" t="s">
        <v>88</v>
      </c>
      <c r="M55" t="str">
        <f t="shared" si="0"/>
        <v>February</v>
      </c>
      <c r="N55">
        <f t="shared" si="1"/>
        <v>2021</v>
      </c>
    </row>
    <row r="56" spans="1:14" x14ac:dyDescent="0.25">
      <c r="A56">
        <v>54</v>
      </c>
      <c r="B56" s="52">
        <v>44242</v>
      </c>
      <c r="C56" s="2">
        <v>73.48</v>
      </c>
      <c r="D56" t="s">
        <v>111</v>
      </c>
      <c r="E56" t="s">
        <v>90</v>
      </c>
      <c r="F56" t="s">
        <v>79</v>
      </c>
      <c r="H56" t="s">
        <v>205</v>
      </c>
      <c r="I56" t="s">
        <v>205</v>
      </c>
      <c r="J56" t="s">
        <v>91</v>
      </c>
      <c r="K56" s="13">
        <v>44313</v>
      </c>
      <c r="L56" t="s">
        <v>88</v>
      </c>
      <c r="M56" t="str">
        <f t="shared" si="0"/>
        <v>February</v>
      </c>
      <c r="N56">
        <f t="shared" si="1"/>
        <v>2021</v>
      </c>
    </row>
    <row r="57" spans="1:14" x14ac:dyDescent="0.25">
      <c r="A57">
        <v>55</v>
      </c>
      <c r="B57" s="52">
        <v>44242</v>
      </c>
      <c r="C57" s="2">
        <v>73.53</v>
      </c>
      <c r="D57" t="s">
        <v>127</v>
      </c>
      <c r="E57" t="s">
        <v>90</v>
      </c>
      <c r="F57" t="s">
        <v>206</v>
      </c>
      <c r="H57" t="s">
        <v>205</v>
      </c>
      <c r="I57" t="s">
        <v>205</v>
      </c>
      <c r="J57" t="s">
        <v>91</v>
      </c>
      <c r="K57" s="13">
        <v>44313</v>
      </c>
      <c r="L57" t="s">
        <v>88</v>
      </c>
      <c r="M57" t="str">
        <f t="shared" si="0"/>
        <v>February</v>
      </c>
      <c r="N57">
        <f t="shared" si="1"/>
        <v>2021</v>
      </c>
    </row>
    <row r="58" spans="1:14" x14ac:dyDescent="0.25">
      <c r="A58">
        <v>56</v>
      </c>
      <c r="B58" s="52">
        <v>44241</v>
      </c>
      <c r="C58" s="2">
        <v>245.04</v>
      </c>
      <c r="D58" t="s">
        <v>131</v>
      </c>
      <c r="E58" t="s">
        <v>90</v>
      </c>
      <c r="F58" t="s">
        <v>207</v>
      </c>
      <c r="H58" t="s">
        <v>205</v>
      </c>
      <c r="I58" t="s">
        <v>205</v>
      </c>
      <c r="J58" t="s">
        <v>91</v>
      </c>
      <c r="K58" s="13">
        <v>44313</v>
      </c>
      <c r="L58" t="s">
        <v>88</v>
      </c>
      <c r="M58" t="str">
        <f t="shared" si="0"/>
        <v>February</v>
      </c>
      <c r="N58">
        <f t="shared" si="1"/>
        <v>2021</v>
      </c>
    </row>
    <row r="59" spans="1:14" x14ac:dyDescent="0.25">
      <c r="A59">
        <v>57</v>
      </c>
      <c r="B59" s="52">
        <v>44239</v>
      </c>
      <c r="C59" s="2">
        <v>49.91</v>
      </c>
      <c r="D59" t="s">
        <v>124</v>
      </c>
      <c r="E59" t="s">
        <v>90</v>
      </c>
      <c r="F59" t="s">
        <v>206</v>
      </c>
      <c r="H59" t="s">
        <v>205</v>
      </c>
      <c r="I59" t="s">
        <v>205</v>
      </c>
      <c r="J59" t="s">
        <v>91</v>
      </c>
      <c r="K59" s="13">
        <v>44313</v>
      </c>
      <c r="L59" t="s">
        <v>88</v>
      </c>
      <c r="M59" t="str">
        <f t="shared" si="0"/>
        <v>February</v>
      </c>
      <c r="N59">
        <f t="shared" si="1"/>
        <v>2021</v>
      </c>
    </row>
    <row r="60" spans="1:14" x14ac:dyDescent="0.25">
      <c r="A60">
        <v>58</v>
      </c>
      <c r="B60" s="52">
        <v>44239</v>
      </c>
      <c r="C60" s="2">
        <v>10.59</v>
      </c>
      <c r="D60" t="s">
        <v>107</v>
      </c>
      <c r="E60" t="s">
        <v>90</v>
      </c>
      <c r="F60" t="s">
        <v>204</v>
      </c>
      <c r="H60" t="s">
        <v>205</v>
      </c>
      <c r="I60" t="s">
        <v>205</v>
      </c>
      <c r="J60" t="s">
        <v>91</v>
      </c>
      <c r="K60" s="13">
        <v>44313</v>
      </c>
      <c r="L60" t="s">
        <v>88</v>
      </c>
      <c r="M60" t="str">
        <f t="shared" si="0"/>
        <v>February</v>
      </c>
      <c r="N60">
        <f t="shared" si="1"/>
        <v>2021</v>
      </c>
    </row>
    <row r="61" spans="1:14" x14ac:dyDescent="0.25">
      <c r="A61">
        <v>59</v>
      </c>
      <c r="B61" s="52">
        <v>44238</v>
      </c>
      <c r="C61" s="2">
        <v>39.450000000000003</v>
      </c>
      <c r="D61" t="s">
        <v>132</v>
      </c>
      <c r="E61" t="s">
        <v>90</v>
      </c>
      <c r="F61" t="s">
        <v>208</v>
      </c>
      <c r="H61" t="s">
        <v>205</v>
      </c>
      <c r="I61" t="s">
        <v>205</v>
      </c>
      <c r="J61" t="s">
        <v>91</v>
      </c>
      <c r="K61" s="13">
        <v>44313</v>
      </c>
      <c r="L61" t="s">
        <v>88</v>
      </c>
      <c r="M61" t="str">
        <f t="shared" si="0"/>
        <v>February</v>
      </c>
      <c r="N61">
        <f t="shared" si="1"/>
        <v>2021</v>
      </c>
    </row>
    <row r="62" spans="1:14" x14ac:dyDescent="0.25">
      <c r="A62">
        <v>60</v>
      </c>
      <c r="B62" s="52">
        <v>44235</v>
      </c>
      <c r="C62" s="2">
        <v>275</v>
      </c>
      <c r="D62" t="s">
        <v>133</v>
      </c>
      <c r="E62" t="s">
        <v>90</v>
      </c>
      <c r="F62" t="s">
        <v>79</v>
      </c>
      <c r="H62" t="s">
        <v>205</v>
      </c>
      <c r="I62" t="s">
        <v>205</v>
      </c>
      <c r="J62" t="s">
        <v>91</v>
      </c>
      <c r="K62" s="13">
        <v>44313</v>
      </c>
      <c r="L62" t="s">
        <v>88</v>
      </c>
      <c r="M62" t="str">
        <f t="shared" si="0"/>
        <v>February</v>
      </c>
      <c r="N62">
        <f t="shared" si="1"/>
        <v>2021</v>
      </c>
    </row>
    <row r="63" spans="1:14" x14ac:dyDescent="0.25">
      <c r="A63">
        <v>61</v>
      </c>
      <c r="B63" s="52">
        <v>44233</v>
      </c>
      <c r="C63" s="2">
        <v>32.78</v>
      </c>
      <c r="D63" t="s">
        <v>134</v>
      </c>
      <c r="E63" t="s">
        <v>90</v>
      </c>
      <c r="F63" t="s">
        <v>79</v>
      </c>
      <c r="H63" t="s">
        <v>205</v>
      </c>
      <c r="I63" t="s">
        <v>205</v>
      </c>
      <c r="J63" t="s">
        <v>91</v>
      </c>
      <c r="K63" s="13">
        <v>44313</v>
      </c>
      <c r="L63" t="s">
        <v>88</v>
      </c>
      <c r="M63" t="str">
        <f t="shared" si="0"/>
        <v>February</v>
      </c>
      <c r="N63">
        <f t="shared" si="1"/>
        <v>2021</v>
      </c>
    </row>
    <row r="64" spans="1:14" x14ac:dyDescent="0.25">
      <c r="A64">
        <v>62</v>
      </c>
      <c r="B64" s="52">
        <v>44232</v>
      </c>
      <c r="C64" s="2">
        <v>68.739999999999995</v>
      </c>
      <c r="D64" t="s">
        <v>116</v>
      </c>
      <c r="E64" t="s">
        <v>90</v>
      </c>
      <c r="F64" t="s">
        <v>206</v>
      </c>
      <c r="H64" t="s">
        <v>205</v>
      </c>
      <c r="I64" t="s">
        <v>205</v>
      </c>
      <c r="J64" t="s">
        <v>91</v>
      </c>
      <c r="K64" s="13">
        <v>44313</v>
      </c>
      <c r="L64" t="s">
        <v>88</v>
      </c>
      <c r="M64" t="str">
        <f t="shared" si="0"/>
        <v>February</v>
      </c>
      <c r="N64">
        <f t="shared" si="1"/>
        <v>2021</v>
      </c>
    </row>
    <row r="65" spans="1:14" x14ac:dyDescent="0.25">
      <c r="A65">
        <v>63</v>
      </c>
      <c r="B65" s="52">
        <v>44232</v>
      </c>
      <c r="C65" s="2">
        <v>99</v>
      </c>
      <c r="D65" t="s">
        <v>114</v>
      </c>
      <c r="E65" t="s">
        <v>90</v>
      </c>
      <c r="F65" t="s">
        <v>210</v>
      </c>
      <c r="H65" t="s">
        <v>205</v>
      </c>
      <c r="I65" t="s">
        <v>205</v>
      </c>
      <c r="J65" t="s">
        <v>91</v>
      </c>
      <c r="K65" s="13">
        <v>44313</v>
      </c>
      <c r="L65" t="s">
        <v>88</v>
      </c>
      <c r="M65" t="str">
        <f t="shared" si="0"/>
        <v>February</v>
      </c>
      <c r="N65">
        <f t="shared" si="1"/>
        <v>2021</v>
      </c>
    </row>
    <row r="66" spans="1:14" x14ac:dyDescent="0.25">
      <c r="A66">
        <v>64</v>
      </c>
      <c r="B66" s="52">
        <v>44232</v>
      </c>
      <c r="C66" s="2">
        <v>49.91</v>
      </c>
      <c r="D66" t="s">
        <v>124</v>
      </c>
      <c r="E66" t="s">
        <v>90</v>
      </c>
      <c r="F66" t="s">
        <v>206</v>
      </c>
      <c r="H66" t="s">
        <v>205</v>
      </c>
      <c r="I66" t="s">
        <v>205</v>
      </c>
      <c r="J66" t="s">
        <v>91</v>
      </c>
      <c r="K66" s="13">
        <v>44313</v>
      </c>
      <c r="L66" t="s">
        <v>88</v>
      </c>
      <c r="M66" t="str">
        <f t="shared" si="0"/>
        <v>February</v>
      </c>
      <c r="N66">
        <f t="shared" si="1"/>
        <v>2021</v>
      </c>
    </row>
    <row r="67" spans="1:14" x14ac:dyDescent="0.25">
      <c r="A67">
        <v>65</v>
      </c>
      <c r="B67" s="52">
        <v>44231</v>
      </c>
      <c r="C67" s="2">
        <v>33.159999999999997</v>
      </c>
      <c r="D67" t="s">
        <v>125</v>
      </c>
      <c r="E67" t="s">
        <v>90</v>
      </c>
      <c r="F67" t="s">
        <v>208</v>
      </c>
      <c r="H67" t="s">
        <v>205</v>
      </c>
      <c r="I67" t="s">
        <v>205</v>
      </c>
      <c r="J67" t="s">
        <v>91</v>
      </c>
      <c r="K67" s="13">
        <v>44313</v>
      </c>
      <c r="L67" t="s">
        <v>88</v>
      </c>
      <c r="M67" t="str">
        <f t="shared" ref="M67:M130" si="2">TEXT(B67,"mmmm")</f>
        <v>February</v>
      </c>
      <c r="N67">
        <f t="shared" ref="N67:N130" si="3">YEAR(B67)</f>
        <v>2021</v>
      </c>
    </row>
    <row r="68" spans="1:14" x14ac:dyDescent="0.25">
      <c r="A68">
        <v>66</v>
      </c>
      <c r="B68" s="52">
        <v>44227</v>
      </c>
      <c r="C68" s="2">
        <v>96.91</v>
      </c>
      <c r="D68" t="s">
        <v>116</v>
      </c>
      <c r="E68" t="s">
        <v>90</v>
      </c>
      <c r="F68" t="s">
        <v>206</v>
      </c>
      <c r="H68" t="s">
        <v>205</v>
      </c>
      <c r="I68" t="s">
        <v>205</v>
      </c>
      <c r="J68" t="s">
        <v>91</v>
      </c>
      <c r="K68" s="13">
        <v>44313</v>
      </c>
      <c r="L68" t="s">
        <v>88</v>
      </c>
      <c r="M68" t="str">
        <f t="shared" si="2"/>
        <v>January</v>
      </c>
      <c r="N68">
        <f t="shared" si="3"/>
        <v>2021</v>
      </c>
    </row>
    <row r="69" spans="1:14" x14ac:dyDescent="0.25">
      <c r="A69">
        <v>67</v>
      </c>
      <c r="B69" s="52">
        <v>44227</v>
      </c>
      <c r="C69" s="2">
        <v>29.59</v>
      </c>
      <c r="D69" t="s">
        <v>135</v>
      </c>
      <c r="E69" t="s">
        <v>90</v>
      </c>
      <c r="F69" t="s">
        <v>208</v>
      </c>
      <c r="H69" t="s">
        <v>205</v>
      </c>
      <c r="I69" t="s">
        <v>205</v>
      </c>
      <c r="J69" t="s">
        <v>91</v>
      </c>
      <c r="K69" s="13">
        <v>44313</v>
      </c>
      <c r="L69" t="s">
        <v>88</v>
      </c>
      <c r="M69" t="str">
        <f t="shared" si="2"/>
        <v>January</v>
      </c>
      <c r="N69">
        <f t="shared" si="3"/>
        <v>2021</v>
      </c>
    </row>
    <row r="70" spans="1:14" x14ac:dyDescent="0.25">
      <c r="A70">
        <v>68</v>
      </c>
      <c r="B70" s="52">
        <v>44224</v>
      </c>
      <c r="C70" s="2">
        <v>28.83</v>
      </c>
      <c r="D70" t="s">
        <v>136</v>
      </c>
      <c r="E70" t="s">
        <v>90</v>
      </c>
      <c r="F70" t="s">
        <v>207</v>
      </c>
      <c r="H70" t="s">
        <v>205</v>
      </c>
      <c r="I70" t="s">
        <v>205</v>
      </c>
      <c r="J70" t="s">
        <v>91</v>
      </c>
      <c r="K70" s="13">
        <v>44313</v>
      </c>
      <c r="L70" t="s">
        <v>88</v>
      </c>
      <c r="M70" t="str">
        <f t="shared" si="2"/>
        <v>January</v>
      </c>
      <c r="N70">
        <f t="shared" si="3"/>
        <v>2021</v>
      </c>
    </row>
    <row r="71" spans="1:14" x14ac:dyDescent="0.25">
      <c r="A71">
        <v>69</v>
      </c>
      <c r="B71" s="52">
        <v>44221</v>
      </c>
      <c r="C71" s="2">
        <v>68.89</v>
      </c>
      <c r="D71" t="s">
        <v>128</v>
      </c>
      <c r="E71" t="s">
        <v>90</v>
      </c>
      <c r="F71" t="s">
        <v>204</v>
      </c>
      <c r="H71" t="s">
        <v>205</v>
      </c>
      <c r="I71" t="s">
        <v>205</v>
      </c>
      <c r="J71" t="s">
        <v>91</v>
      </c>
      <c r="K71" s="13">
        <v>44313</v>
      </c>
      <c r="L71" t="s">
        <v>88</v>
      </c>
      <c r="M71" t="str">
        <f t="shared" si="2"/>
        <v>January</v>
      </c>
      <c r="N71">
        <f t="shared" si="3"/>
        <v>2021</v>
      </c>
    </row>
    <row r="72" spans="1:14" x14ac:dyDescent="0.25">
      <c r="A72">
        <v>70</v>
      </c>
      <c r="B72" s="52">
        <v>44220</v>
      </c>
      <c r="C72" s="2">
        <v>125.82</v>
      </c>
      <c r="D72" t="s">
        <v>127</v>
      </c>
      <c r="E72" t="s">
        <v>90</v>
      </c>
      <c r="F72" t="s">
        <v>206</v>
      </c>
      <c r="H72" t="s">
        <v>205</v>
      </c>
      <c r="I72" t="s">
        <v>205</v>
      </c>
      <c r="J72" t="s">
        <v>91</v>
      </c>
      <c r="K72" s="13">
        <v>44313</v>
      </c>
      <c r="L72" t="s">
        <v>88</v>
      </c>
      <c r="M72" t="str">
        <f t="shared" si="2"/>
        <v>January</v>
      </c>
      <c r="N72">
        <f t="shared" si="3"/>
        <v>2021</v>
      </c>
    </row>
    <row r="73" spans="1:14" x14ac:dyDescent="0.25">
      <c r="A73">
        <v>71</v>
      </c>
      <c r="B73" s="52">
        <v>44218</v>
      </c>
      <c r="C73" s="2">
        <v>35.78</v>
      </c>
      <c r="D73" t="s">
        <v>137</v>
      </c>
      <c r="E73" t="s">
        <v>90</v>
      </c>
      <c r="F73" t="s">
        <v>208</v>
      </c>
      <c r="H73" t="s">
        <v>205</v>
      </c>
      <c r="I73" t="s">
        <v>205</v>
      </c>
      <c r="J73" t="s">
        <v>91</v>
      </c>
      <c r="K73" s="13">
        <v>44313</v>
      </c>
      <c r="L73" t="s">
        <v>88</v>
      </c>
      <c r="M73" t="str">
        <f t="shared" si="2"/>
        <v>January</v>
      </c>
      <c r="N73">
        <f t="shared" si="3"/>
        <v>2021</v>
      </c>
    </row>
    <row r="74" spans="1:14" x14ac:dyDescent="0.25">
      <c r="A74">
        <v>72</v>
      </c>
      <c r="B74" s="52">
        <v>44212</v>
      </c>
      <c r="C74" s="2">
        <v>92.8</v>
      </c>
      <c r="D74" t="s">
        <v>138</v>
      </c>
      <c r="E74" t="s">
        <v>90</v>
      </c>
      <c r="F74" t="s">
        <v>206</v>
      </c>
      <c r="H74" t="s">
        <v>205</v>
      </c>
      <c r="I74" t="s">
        <v>205</v>
      </c>
      <c r="J74" t="s">
        <v>91</v>
      </c>
      <c r="K74" s="13">
        <v>44313</v>
      </c>
      <c r="L74" t="s">
        <v>88</v>
      </c>
      <c r="M74" t="str">
        <f t="shared" si="2"/>
        <v>January</v>
      </c>
      <c r="N74">
        <f t="shared" si="3"/>
        <v>2021</v>
      </c>
    </row>
    <row r="75" spans="1:14" x14ac:dyDescent="0.25">
      <c r="A75">
        <v>73</v>
      </c>
      <c r="B75" s="52">
        <v>44208</v>
      </c>
      <c r="C75" s="2">
        <v>10.59</v>
      </c>
      <c r="D75" t="s">
        <v>107</v>
      </c>
      <c r="E75" t="s">
        <v>90</v>
      </c>
      <c r="F75" t="s">
        <v>204</v>
      </c>
      <c r="H75" t="s">
        <v>205</v>
      </c>
      <c r="I75" t="s">
        <v>205</v>
      </c>
      <c r="J75" t="s">
        <v>91</v>
      </c>
      <c r="K75" s="13">
        <v>44313</v>
      </c>
      <c r="L75" t="s">
        <v>88</v>
      </c>
      <c r="M75" t="str">
        <f t="shared" si="2"/>
        <v>January</v>
      </c>
      <c r="N75">
        <f t="shared" si="3"/>
        <v>2021</v>
      </c>
    </row>
    <row r="76" spans="1:14" x14ac:dyDescent="0.25">
      <c r="A76">
        <v>74</v>
      </c>
      <c r="B76" s="52">
        <v>44207</v>
      </c>
      <c r="C76" s="2">
        <v>106.45</v>
      </c>
      <c r="D76" t="s">
        <v>127</v>
      </c>
      <c r="E76" t="s">
        <v>90</v>
      </c>
      <c r="F76" t="s">
        <v>206</v>
      </c>
      <c r="H76" t="s">
        <v>205</v>
      </c>
      <c r="I76" t="s">
        <v>205</v>
      </c>
      <c r="J76" t="s">
        <v>91</v>
      </c>
      <c r="K76" s="13">
        <v>44313</v>
      </c>
      <c r="L76" t="s">
        <v>88</v>
      </c>
      <c r="M76" t="str">
        <f t="shared" si="2"/>
        <v>January</v>
      </c>
      <c r="N76">
        <f t="shared" si="3"/>
        <v>2021</v>
      </c>
    </row>
    <row r="77" spans="1:14" x14ac:dyDescent="0.25">
      <c r="A77">
        <v>75</v>
      </c>
      <c r="B77" s="52">
        <v>44204</v>
      </c>
      <c r="C77" s="2">
        <v>17.95</v>
      </c>
      <c r="D77" t="s">
        <v>110</v>
      </c>
      <c r="E77" t="s">
        <v>90</v>
      </c>
      <c r="F77" t="s">
        <v>206</v>
      </c>
      <c r="H77" t="s">
        <v>205</v>
      </c>
      <c r="I77" t="s">
        <v>205</v>
      </c>
      <c r="J77" t="s">
        <v>91</v>
      </c>
      <c r="K77" s="13">
        <v>44313</v>
      </c>
      <c r="L77" t="s">
        <v>88</v>
      </c>
      <c r="M77" t="str">
        <f t="shared" si="2"/>
        <v>January</v>
      </c>
      <c r="N77">
        <f t="shared" si="3"/>
        <v>2021</v>
      </c>
    </row>
    <row r="78" spans="1:14" x14ac:dyDescent="0.25">
      <c r="A78">
        <v>76</v>
      </c>
      <c r="B78" s="52">
        <v>44200</v>
      </c>
      <c r="C78" s="2">
        <v>52.76</v>
      </c>
      <c r="D78" t="s">
        <v>139</v>
      </c>
      <c r="E78" t="s">
        <v>90</v>
      </c>
      <c r="F78" t="s">
        <v>209</v>
      </c>
      <c r="H78" t="s">
        <v>205</v>
      </c>
      <c r="I78" t="s">
        <v>205</v>
      </c>
      <c r="J78" t="s">
        <v>91</v>
      </c>
      <c r="K78" s="13">
        <v>44313</v>
      </c>
      <c r="L78" t="s">
        <v>88</v>
      </c>
      <c r="M78" t="str">
        <f t="shared" si="2"/>
        <v>January</v>
      </c>
      <c r="N78">
        <f t="shared" si="3"/>
        <v>2021</v>
      </c>
    </row>
    <row r="79" spans="1:14" x14ac:dyDescent="0.25">
      <c r="A79">
        <v>77</v>
      </c>
      <c r="B79" s="52">
        <v>44198</v>
      </c>
      <c r="C79" s="2">
        <v>35.630000000000003</v>
      </c>
      <c r="D79" t="s">
        <v>132</v>
      </c>
      <c r="E79" t="s">
        <v>90</v>
      </c>
      <c r="F79" t="s">
        <v>208</v>
      </c>
      <c r="H79" t="s">
        <v>205</v>
      </c>
      <c r="I79" t="s">
        <v>205</v>
      </c>
      <c r="J79" t="s">
        <v>91</v>
      </c>
      <c r="K79" s="13">
        <v>44313</v>
      </c>
      <c r="L79" t="s">
        <v>88</v>
      </c>
      <c r="M79" t="str">
        <f t="shared" si="2"/>
        <v>January</v>
      </c>
      <c r="N79">
        <f t="shared" si="3"/>
        <v>2021</v>
      </c>
    </row>
    <row r="80" spans="1:14" x14ac:dyDescent="0.25">
      <c r="A80">
        <v>78</v>
      </c>
      <c r="B80" s="52">
        <v>44198</v>
      </c>
      <c r="C80" s="2">
        <v>97.67</v>
      </c>
      <c r="D80" t="s">
        <v>127</v>
      </c>
      <c r="E80" t="s">
        <v>90</v>
      </c>
      <c r="F80" t="s">
        <v>206</v>
      </c>
      <c r="H80" t="s">
        <v>205</v>
      </c>
      <c r="I80" t="s">
        <v>205</v>
      </c>
      <c r="J80" t="s">
        <v>91</v>
      </c>
      <c r="K80" s="13">
        <v>44313</v>
      </c>
      <c r="L80" t="s">
        <v>88</v>
      </c>
      <c r="M80" t="str">
        <f t="shared" si="2"/>
        <v>January</v>
      </c>
      <c r="N80">
        <f t="shared" si="3"/>
        <v>2021</v>
      </c>
    </row>
    <row r="81" spans="1:14" x14ac:dyDescent="0.25">
      <c r="A81">
        <v>79</v>
      </c>
      <c r="B81" s="52">
        <v>44308</v>
      </c>
      <c r="C81" s="2">
        <v>25</v>
      </c>
      <c r="D81" t="s">
        <v>141</v>
      </c>
      <c r="E81" t="s">
        <v>90</v>
      </c>
      <c r="F81" t="s">
        <v>213</v>
      </c>
      <c r="H81" t="s">
        <v>205</v>
      </c>
      <c r="I81" t="s">
        <v>205</v>
      </c>
      <c r="J81" t="s">
        <v>142</v>
      </c>
      <c r="K81" s="13">
        <v>44313</v>
      </c>
      <c r="L81" t="s">
        <v>140</v>
      </c>
      <c r="M81" t="str">
        <f t="shared" si="2"/>
        <v>April</v>
      </c>
      <c r="N81">
        <f t="shared" si="3"/>
        <v>2021</v>
      </c>
    </row>
    <row r="82" spans="1:14" x14ac:dyDescent="0.25">
      <c r="A82">
        <v>80</v>
      </c>
      <c r="B82" s="52">
        <v>44310</v>
      </c>
      <c r="C82" s="2">
        <v>83.03</v>
      </c>
      <c r="D82" t="s">
        <v>143</v>
      </c>
      <c r="E82" t="s">
        <v>90</v>
      </c>
      <c r="F82" t="s">
        <v>204</v>
      </c>
      <c r="H82" t="s">
        <v>205</v>
      </c>
      <c r="I82" t="s">
        <v>205</v>
      </c>
      <c r="J82" t="s">
        <v>142</v>
      </c>
      <c r="K82" s="13">
        <v>44313</v>
      </c>
      <c r="L82" t="s">
        <v>140</v>
      </c>
      <c r="M82" t="str">
        <f t="shared" si="2"/>
        <v>April</v>
      </c>
      <c r="N82">
        <f t="shared" si="3"/>
        <v>2021</v>
      </c>
    </row>
    <row r="83" spans="1:14" x14ac:dyDescent="0.25">
      <c r="A83">
        <v>81</v>
      </c>
      <c r="B83" s="52">
        <v>44309</v>
      </c>
      <c r="C83" s="2">
        <v>30.51</v>
      </c>
      <c r="D83" t="s">
        <v>144</v>
      </c>
      <c r="E83" t="s">
        <v>90</v>
      </c>
      <c r="F83" t="s">
        <v>209</v>
      </c>
      <c r="H83" t="s">
        <v>205</v>
      </c>
      <c r="I83" t="s">
        <v>205</v>
      </c>
      <c r="J83" t="s">
        <v>142</v>
      </c>
      <c r="K83" s="13">
        <v>44313</v>
      </c>
      <c r="L83" t="s">
        <v>140</v>
      </c>
      <c r="M83" t="str">
        <f t="shared" si="2"/>
        <v>April</v>
      </c>
      <c r="N83">
        <f t="shared" si="3"/>
        <v>2021</v>
      </c>
    </row>
    <row r="84" spans="1:14" x14ac:dyDescent="0.25">
      <c r="A84">
        <v>82</v>
      </c>
      <c r="B84" s="52">
        <v>44306</v>
      </c>
      <c r="C84" s="2">
        <v>212.76</v>
      </c>
      <c r="D84" t="s">
        <v>145</v>
      </c>
      <c r="E84" t="s">
        <v>90</v>
      </c>
      <c r="F84" t="s">
        <v>206</v>
      </c>
      <c r="H84" t="s">
        <v>205</v>
      </c>
      <c r="I84" t="s">
        <v>205</v>
      </c>
      <c r="J84" t="s">
        <v>142</v>
      </c>
      <c r="K84" s="13">
        <v>44313</v>
      </c>
      <c r="L84" t="s">
        <v>140</v>
      </c>
      <c r="M84" t="str">
        <f t="shared" si="2"/>
        <v>April</v>
      </c>
      <c r="N84">
        <f t="shared" si="3"/>
        <v>2021</v>
      </c>
    </row>
    <row r="85" spans="1:14" x14ac:dyDescent="0.25">
      <c r="A85">
        <v>83</v>
      </c>
      <c r="B85" s="52">
        <v>44306</v>
      </c>
      <c r="C85" s="2">
        <v>0.99</v>
      </c>
      <c r="D85" t="s">
        <v>146</v>
      </c>
      <c r="E85" t="s">
        <v>90</v>
      </c>
      <c r="F85" t="s">
        <v>204</v>
      </c>
      <c r="H85" t="s">
        <v>205</v>
      </c>
      <c r="I85" t="s">
        <v>205</v>
      </c>
      <c r="J85" t="s">
        <v>142</v>
      </c>
      <c r="K85" s="13">
        <v>44313</v>
      </c>
      <c r="L85" t="s">
        <v>140</v>
      </c>
      <c r="M85" t="str">
        <f t="shared" si="2"/>
        <v>April</v>
      </c>
      <c r="N85">
        <f t="shared" si="3"/>
        <v>2021</v>
      </c>
    </row>
    <row r="86" spans="1:14" x14ac:dyDescent="0.25">
      <c r="A86">
        <v>84</v>
      </c>
      <c r="B86" s="52">
        <v>44307</v>
      </c>
      <c r="C86" s="2">
        <v>69.180000000000007</v>
      </c>
      <c r="D86" t="s">
        <v>147</v>
      </c>
      <c r="E86" t="s">
        <v>90</v>
      </c>
      <c r="F86" t="s">
        <v>213</v>
      </c>
      <c r="H86" t="s">
        <v>205</v>
      </c>
      <c r="I86" t="s">
        <v>205</v>
      </c>
      <c r="J86" t="s">
        <v>142</v>
      </c>
      <c r="K86" s="13">
        <v>44313</v>
      </c>
      <c r="L86" t="s">
        <v>140</v>
      </c>
      <c r="M86" t="str">
        <f t="shared" si="2"/>
        <v>April</v>
      </c>
      <c r="N86">
        <f t="shared" si="3"/>
        <v>2021</v>
      </c>
    </row>
    <row r="87" spans="1:14" x14ac:dyDescent="0.25">
      <c r="A87">
        <v>85</v>
      </c>
      <c r="B87" s="52">
        <v>44304</v>
      </c>
      <c r="C87" s="2">
        <v>90.12</v>
      </c>
      <c r="D87" t="s">
        <v>148</v>
      </c>
      <c r="E87" t="s">
        <v>90</v>
      </c>
      <c r="F87" t="s">
        <v>207</v>
      </c>
      <c r="H87" t="s">
        <v>205</v>
      </c>
      <c r="I87" t="s">
        <v>205</v>
      </c>
      <c r="J87" t="s">
        <v>142</v>
      </c>
      <c r="K87" s="13">
        <v>44313</v>
      </c>
      <c r="L87" t="s">
        <v>140</v>
      </c>
      <c r="M87" t="str">
        <f t="shared" si="2"/>
        <v>April</v>
      </c>
      <c r="N87">
        <f t="shared" si="3"/>
        <v>2021</v>
      </c>
    </row>
    <row r="88" spans="1:14" x14ac:dyDescent="0.25">
      <c r="A88">
        <v>86</v>
      </c>
      <c r="B88" s="52">
        <v>44306</v>
      </c>
      <c r="C88" s="2">
        <v>25.47</v>
      </c>
      <c r="D88" t="s">
        <v>149</v>
      </c>
      <c r="E88" t="s">
        <v>90</v>
      </c>
      <c r="F88" t="s">
        <v>209</v>
      </c>
      <c r="H88" t="s">
        <v>205</v>
      </c>
      <c r="I88" t="s">
        <v>205</v>
      </c>
      <c r="J88" t="s">
        <v>142</v>
      </c>
      <c r="K88" s="13">
        <v>44313</v>
      </c>
      <c r="L88" t="s">
        <v>140</v>
      </c>
      <c r="M88" t="str">
        <f t="shared" si="2"/>
        <v>April</v>
      </c>
      <c r="N88">
        <f t="shared" si="3"/>
        <v>2021</v>
      </c>
    </row>
    <row r="89" spans="1:14" x14ac:dyDescent="0.25">
      <c r="A89">
        <v>87</v>
      </c>
      <c r="B89" s="52">
        <v>44304</v>
      </c>
      <c r="C89" s="2">
        <v>51.96</v>
      </c>
      <c r="D89" t="s">
        <v>150</v>
      </c>
      <c r="E89" t="s">
        <v>90</v>
      </c>
      <c r="F89" t="s">
        <v>209</v>
      </c>
      <c r="H89" t="s">
        <v>205</v>
      </c>
      <c r="I89" t="s">
        <v>205</v>
      </c>
      <c r="J89" t="s">
        <v>142</v>
      </c>
      <c r="K89" s="13">
        <v>44313</v>
      </c>
      <c r="L89" t="s">
        <v>140</v>
      </c>
      <c r="M89" t="str">
        <f t="shared" si="2"/>
        <v>April</v>
      </c>
      <c r="N89">
        <f t="shared" si="3"/>
        <v>2021</v>
      </c>
    </row>
    <row r="90" spans="1:14" x14ac:dyDescent="0.25">
      <c r="A90">
        <v>88</v>
      </c>
      <c r="B90" s="52">
        <v>44302</v>
      </c>
      <c r="C90" s="2">
        <v>7.96</v>
      </c>
      <c r="D90" t="s">
        <v>151</v>
      </c>
      <c r="E90" t="s">
        <v>90</v>
      </c>
      <c r="F90" t="s">
        <v>207</v>
      </c>
      <c r="H90" t="s">
        <v>205</v>
      </c>
      <c r="I90" t="s">
        <v>205</v>
      </c>
      <c r="J90" t="s">
        <v>142</v>
      </c>
      <c r="K90" s="13">
        <v>44313</v>
      </c>
      <c r="L90" t="s">
        <v>140</v>
      </c>
      <c r="M90" t="str">
        <f t="shared" si="2"/>
        <v>April</v>
      </c>
      <c r="N90">
        <f t="shared" si="3"/>
        <v>2021</v>
      </c>
    </row>
    <row r="91" spans="1:14" x14ac:dyDescent="0.25">
      <c r="A91">
        <v>89</v>
      </c>
      <c r="B91" s="52">
        <v>44301</v>
      </c>
      <c r="C91" s="2">
        <v>1791.76</v>
      </c>
      <c r="D91" t="s">
        <v>152</v>
      </c>
      <c r="E91" t="s">
        <v>90</v>
      </c>
      <c r="F91" t="s">
        <v>214</v>
      </c>
      <c r="H91" t="s">
        <v>205</v>
      </c>
      <c r="I91" t="s">
        <v>205</v>
      </c>
      <c r="J91" t="s">
        <v>142</v>
      </c>
      <c r="K91" s="13">
        <v>44313</v>
      </c>
      <c r="L91" t="s">
        <v>140</v>
      </c>
      <c r="M91" t="str">
        <f t="shared" si="2"/>
        <v>April</v>
      </c>
      <c r="N91">
        <f t="shared" si="3"/>
        <v>2021</v>
      </c>
    </row>
    <row r="92" spans="1:14" x14ac:dyDescent="0.25">
      <c r="A92">
        <v>90</v>
      </c>
      <c r="B92" s="52">
        <v>44298</v>
      </c>
      <c r="C92" s="2">
        <v>1.05</v>
      </c>
      <c r="D92" t="s">
        <v>153</v>
      </c>
      <c r="E92" t="s">
        <v>90</v>
      </c>
      <c r="F92" t="s">
        <v>214</v>
      </c>
      <c r="H92" t="s">
        <v>205</v>
      </c>
      <c r="I92" t="s">
        <v>205</v>
      </c>
      <c r="J92" t="s">
        <v>142</v>
      </c>
      <c r="K92" s="13">
        <v>44313</v>
      </c>
      <c r="L92" t="s">
        <v>140</v>
      </c>
      <c r="M92" t="str">
        <f t="shared" si="2"/>
        <v>April</v>
      </c>
      <c r="N92">
        <f t="shared" si="3"/>
        <v>2021</v>
      </c>
    </row>
    <row r="93" spans="1:14" x14ac:dyDescent="0.25">
      <c r="A93">
        <v>91</v>
      </c>
      <c r="B93" s="52">
        <v>44298</v>
      </c>
      <c r="C93" s="2">
        <v>1.05</v>
      </c>
      <c r="D93" t="s">
        <v>153</v>
      </c>
      <c r="E93" t="s">
        <v>90</v>
      </c>
      <c r="F93" t="s">
        <v>214</v>
      </c>
      <c r="H93" t="s">
        <v>205</v>
      </c>
      <c r="I93" t="s">
        <v>205</v>
      </c>
      <c r="J93" t="s">
        <v>142</v>
      </c>
      <c r="K93" s="13">
        <v>44313</v>
      </c>
      <c r="L93" t="s">
        <v>140</v>
      </c>
      <c r="M93" t="str">
        <f t="shared" si="2"/>
        <v>April</v>
      </c>
      <c r="N93">
        <f t="shared" si="3"/>
        <v>2021</v>
      </c>
    </row>
    <row r="94" spans="1:14" x14ac:dyDescent="0.25">
      <c r="A94">
        <v>92</v>
      </c>
      <c r="B94" s="52">
        <v>44298</v>
      </c>
      <c r="C94" s="2">
        <v>4</v>
      </c>
      <c r="D94" t="s">
        <v>154</v>
      </c>
      <c r="E94" t="s">
        <v>90</v>
      </c>
      <c r="F94" t="s">
        <v>204</v>
      </c>
      <c r="H94" t="s">
        <v>205</v>
      </c>
      <c r="I94" t="s">
        <v>205</v>
      </c>
      <c r="J94" t="s">
        <v>142</v>
      </c>
      <c r="K94" s="13">
        <v>44313</v>
      </c>
      <c r="L94" t="s">
        <v>140</v>
      </c>
      <c r="M94" t="str">
        <f t="shared" si="2"/>
        <v>April</v>
      </c>
      <c r="N94">
        <f t="shared" si="3"/>
        <v>2021</v>
      </c>
    </row>
    <row r="95" spans="1:14" x14ac:dyDescent="0.25">
      <c r="A95">
        <v>93</v>
      </c>
      <c r="B95" s="52">
        <v>44292</v>
      </c>
      <c r="C95" s="2">
        <v>9.85</v>
      </c>
      <c r="D95" t="s">
        <v>155</v>
      </c>
      <c r="E95" t="s">
        <v>90</v>
      </c>
      <c r="F95" t="s">
        <v>206</v>
      </c>
      <c r="H95" t="s">
        <v>205</v>
      </c>
      <c r="I95" t="s">
        <v>205</v>
      </c>
      <c r="J95" t="s">
        <v>142</v>
      </c>
      <c r="K95" s="13">
        <v>44313</v>
      </c>
      <c r="L95" t="s">
        <v>140</v>
      </c>
      <c r="M95" t="str">
        <f t="shared" si="2"/>
        <v>April</v>
      </c>
      <c r="N95">
        <f t="shared" si="3"/>
        <v>2021</v>
      </c>
    </row>
    <row r="96" spans="1:14" x14ac:dyDescent="0.25">
      <c r="A96">
        <v>94</v>
      </c>
      <c r="B96" s="52">
        <v>44291</v>
      </c>
      <c r="C96" s="2">
        <v>111.41</v>
      </c>
      <c r="D96" t="s">
        <v>156</v>
      </c>
      <c r="E96" t="s">
        <v>90</v>
      </c>
      <c r="F96" t="s">
        <v>207</v>
      </c>
      <c r="H96" t="s">
        <v>205</v>
      </c>
      <c r="I96" t="s">
        <v>205</v>
      </c>
      <c r="J96" t="s">
        <v>142</v>
      </c>
      <c r="K96" s="13">
        <v>44313</v>
      </c>
      <c r="L96" t="s">
        <v>140</v>
      </c>
      <c r="M96" t="str">
        <f t="shared" si="2"/>
        <v>April</v>
      </c>
      <c r="N96">
        <f t="shared" si="3"/>
        <v>2021</v>
      </c>
    </row>
    <row r="97" spans="1:14" x14ac:dyDescent="0.25">
      <c r="A97">
        <v>95</v>
      </c>
      <c r="B97" s="52">
        <v>44289</v>
      </c>
      <c r="C97" s="2">
        <v>324.7</v>
      </c>
      <c r="D97" t="s">
        <v>157</v>
      </c>
      <c r="E97" t="s">
        <v>90</v>
      </c>
      <c r="F97" t="s">
        <v>213</v>
      </c>
      <c r="H97" t="s">
        <v>205</v>
      </c>
      <c r="I97" t="s">
        <v>205</v>
      </c>
      <c r="J97" t="s">
        <v>142</v>
      </c>
      <c r="K97" s="13">
        <v>44313</v>
      </c>
      <c r="L97" t="s">
        <v>140</v>
      </c>
      <c r="M97" t="str">
        <f t="shared" si="2"/>
        <v>April</v>
      </c>
      <c r="N97">
        <f t="shared" si="3"/>
        <v>2021</v>
      </c>
    </row>
    <row r="98" spans="1:14" x14ac:dyDescent="0.25">
      <c r="A98">
        <v>96</v>
      </c>
      <c r="B98" s="52">
        <v>44288</v>
      </c>
      <c r="C98" s="2">
        <v>60</v>
      </c>
      <c r="D98" t="s">
        <v>158</v>
      </c>
      <c r="E98" t="s">
        <v>90</v>
      </c>
      <c r="F98" t="s">
        <v>206</v>
      </c>
      <c r="H98" t="s">
        <v>205</v>
      </c>
      <c r="I98" t="s">
        <v>205</v>
      </c>
      <c r="J98" t="s">
        <v>142</v>
      </c>
      <c r="K98" s="13">
        <v>44313</v>
      </c>
      <c r="L98" t="s">
        <v>140</v>
      </c>
      <c r="M98" t="str">
        <f t="shared" si="2"/>
        <v>April</v>
      </c>
      <c r="N98">
        <f t="shared" si="3"/>
        <v>2021</v>
      </c>
    </row>
    <row r="99" spans="1:14" x14ac:dyDescent="0.25">
      <c r="A99">
        <v>97</v>
      </c>
      <c r="B99" s="52">
        <v>44287</v>
      </c>
      <c r="C99" s="2">
        <v>51.65</v>
      </c>
      <c r="D99" t="s">
        <v>159</v>
      </c>
      <c r="E99" t="s">
        <v>90</v>
      </c>
      <c r="F99" t="s">
        <v>209</v>
      </c>
      <c r="H99" t="s">
        <v>205</v>
      </c>
      <c r="I99" t="s">
        <v>205</v>
      </c>
      <c r="J99" t="s">
        <v>142</v>
      </c>
      <c r="K99" s="13">
        <v>44313</v>
      </c>
      <c r="L99" t="s">
        <v>140</v>
      </c>
      <c r="M99" t="str">
        <f t="shared" si="2"/>
        <v>April</v>
      </c>
      <c r="N99">
        <f t="shared" si="3"/>
        <v>2021</v>
      </c>
    </row>
    <row r="100" spans="1:14" x14ac:dyDescent="0.25">
      <c r="A100">
        <v>98</v>
      </c>
      <c r="B100" s="52">
        <v>44287</v>
      </c>
      <c r="C100" s="2">
        <v>97.5</v>
      </c>
      <c r="D100" t="s">
        <v>160</v>
      </c>
      <c r="E100" t="s">
        <v>90</v>
      </c>
      <c r="F100" t="s">
        <v>211</v>
      </c>
      <c r="H100" t="s">
        <v>205</v>
      </c>
      <c r="I100" t="s">
        <v>205</v>
      </c>
      <c r="J100" t="s">
        <v>142</v>
      </c>
      <c r="K100" s="13">
        <v>44313</v>
      </c>
      <c r="L100" t="s">
        <v>140</v>
      </c>
      <c r="M100" t="str">
        <f t="shared" si="2"/>
        <v>April</v>
      </c>
      <c r="N100">
        <f t="shared" si="3"/>
        <v>2021</v>
      </c>
    </row>
    <row r="101" spans="1:14" x14ac:dyDescent="0.25">
      <c r="A101">
        <v>99</v>
      </c>
      <c r="B101" s="52">
        <v>44285</v>
      </c>
      <c r="C101" s="2">
        <v>18.77</v>
      </c>
      <c r="D101" t="s">
        <v>161</v>
      </c>
      <c r="E101" t="s">
        <v>90</v>
      </c>
      <c r="F101" t="s">
        <v>207</v>
      </c>
      <c r="H101" t="s">
        <v>205</v>
      </c>
      <c r="I101" t="s">
        <v>205</v>
      </c>
      <c r="J101" t="s">
        <v>142</v>
      </c>
      <c r="K101" s="13">
        <v>44313</v>
      </c>
      <c r="L101" t="s">
        <v>140</v>
      </c>
      <c r="M101" t="str">
        <f t="shared" si="2"/>
        <v>March</v>
      </c>
      <c r="N101">
        <f t="shared" si="3"/>
        <v>2021</v>
      </c>
    </row>
    <row r="102" spans="1:14" x14ac:dyDescent="0.25">
      <c r="A102">
        <v>100</v>
      </c>
      <c r="B102" s="52">
        <v>44285</v>
      </c>
      <c r="C102" s="2">
        <v>317.02999999999997</v>
      </c>
      <c r="D102" t="s">
        <v>162</v>
      </c>
      <c r="E102" t="s">
        <v>90</v>
      </c>
      <c r="F102" t="s">
        <v>209</v>
      </c>
      <c r="H102" t="s">
        <v>205</v>
      </c>
      <c r="I102" t="s">
        <v>205</v>
      </c>
      <c r="J102" t="s">
        <v>142</v>
      </c>
      <c r="K102" s="13">
        <v>44313</v>
      </c>
      <c r="L102" t="s">
        <v>140</v>
      </c>
      <c r="M102" t="str">
        <f t="shared" si="2"/>
        <v>March</v>
      </c>
      <c r="N102">
        <f t="shared" si="3"/>
        <v>2021</v>
      </c>
    </row>
    <row r="103" spans="1:14" x14ac:dyDescent="0.25">
      <c r="A103">
        <v>101</v>
      </c>
      <c r="B103" s="52">
        <v>44282</v>
      </c>
      <c r="C103" s="2">
        <v>71.739999999999995</v>
      </c>
      <c r="D103" t="s">
        <v>163</v>
      </c>
      <c r="E103" t="s">
        <v>90</v>
      </c>
      <c r="F103" t="s">
        <v>207</v>
      </c>
      <c r="H103" t="s">
        <v>205</v>
      </c>
      <c r="I103" t="s">
        <v>205</v>
      </c>
      <c r="J103" t="s">
        <v>142</v>
      </c>
      <c r="K103" s="13">
        <v>44313</v>
      </c>
      <c r="L103" t="s">
        <v>140</v>
      </c>
      <c r="M103" t="str">
        <f t="shared" si="2"/>
        <v>March</v>
      </c>
      <c r="N103">
        <f t="shared" si="3"/>
        <v>2021</v>
      </c>
    </row>
    <row r="104" spans="1:14" x14ac:dyDescent="0.25">
      <c r="A104">
        <v>102</v>
      </c>
      <c r="B104" s="52">
        <v>44282</v>
      </c>
      <c r="C104" s="2">
        <v>6.34</v>
      </c>
      <c r="D104" t="s">
        <v>164</v>
      </c>
      <c r="E104" t="s">
        <v>90</v>
      </c>
      <c r="F104" t="s">
        <v>207</v>
      </c>
      <c r="H104" t="s">
        <v>205</v>
      </c>
      <c r="I104" t="s">
        <v>205</v>
      </c>
      <c r="J104" t="s">
        <v>142</v>
      </c>
      <c r="K104" s="13">
        <v>44313</v>
      </c>
      <c r="L104" t="s">
        <v>140</v>
      </c>
      <c r="M104" t="str">
        <f t="shared" si="2"/>
        <v>March</v>
      </c>
      <c r="N104">
        <f t="shared" si="3"/>
        <v>2021</v>
      </c>
    </row>
    <row r="105" spans="1:14" x14ac:dyDescent="0.25">
      <c r="A105">
        <v>103</v>
      </c>
      <c r="B105" s="52">
        <v>44283</v>
      </c>
      <c r="C105" s="2">
        <v>39.49</v>
      </c>
      <c r="D105" t="s">
        <v>165</v>
      </c>
      <c r="E105" t="s">
        <v>90</v>
      </c>
      <c r="F105" t="s">
        <v>209</v>
      </c>
      <c r="H105" t="s">
        <v>205</v>
      </c>
      <c r="I105" t="s">
        <v>205</v>
      </c>
      <c r="J105" t="s">
        <v>142</v>
      </c>
      <c r="K105" s="13">
        <v>44313</v>
      </c>
      <c r="L105" t="s">
        <v>140</v>
      </c>
      <c r="M105" t="str">
        <f t="shared" si="2"/>
        <v>March</v>
      </c>
      <c r="N105">
        <f t="shared" si="3"/>
        <v>2021</v>
      </c>
    </row>
    <row r="106" spans="1:14" x14ac:dyDescent="0.25">
      <c r="A106">
        <v>104</v>
      </c>
      <c r="B106" s="52">
        <v>44283</v>
      </c>
      <c r="C106" s="2">
        <v>41.99</v>
      </c>
      <c r="D106" t="s">
        <v>166</v>
      </c>
      <c r="E106" t="s">
        <v>90</v>
      </c>
      <c r="F106" t="s">
        <v>210</v>
      </c>
      <c r="H106" t="s">
        <v>205</v>
      </c>
      <c r="I106" t="s">
        <v>205</v>
      </c>
      <c r="J106" t="s">
        <v>142</v>
      </c>
      <c r="K106" s="13">
        <v>44313</v>
      </c>
      <c r="L106" t="s">
        <v>140</v>
      </c>
      <c r="M106" t="str">
        <f t="shared" si="2"/>
        <v>March</v>
      </c>
      <c r="N106">
        <f t="shared" si="3"/>
        <v>2021</v>
      </c>
    </row>
    <row r="107" spans="1:14" x14ac:dyDescent="0.25">
      <c r="A107">
        <v>105</v>
      </c>
      <c r="B107" s="52">
        <v>44282</v>
      </c>
      <c r="C107" s="2">
        <v>33.39</v>
      </c>
      <c r="D107" t="s">
        <v>167</v>
      </c>
      <c r="E107" t="s">
        <v>90</v>
      </c>
      <c r="F107" t="s">
        <v>207</v>
      </c>
      <c r="H107" t="s">
        <v>205</v>
      </c>
      <c r="I107" t="s">
        <v>205</v>
      </c>
      <c r="J107" t="s">
        <v>142</v>
      </c>
      <c r="K107" s="13">
        <v>44313</v>
      </c>
      <c r="L107" t="s">
        <v>140</v>
      </c>
      <c r="M107" t="str">
        <f t="shared" si="2"/>
        <v>March</v>
      </c>
      <c r="N107">
        <f t="shared" si="3"/>
        <v>2021</v>
      </c>
    </row>
    <row r="108" spans="1:14" x14ac:dyDescent="0.25">
      <c r="A108">
        <v>106</v>
      </c>
      <c r="B108" s="52">
        <v>44282</v>
      </c>
      <c r="C108" s="2">
        <v>9.01</v>
      </c>
      <c r="D108" t="s">
        <v>168</v>
      </c>
      <c r="E108" t="s">
        <v>90</v>
      </c>
      <c r="F108" t="s">
        <v>207</v>
      </c>
      <c r="H108" t="s">
        <v>205</v>
      </c>
      <c r="I108" t="s">
        <v>205</v>
      </c>
      <c r="J108" t="s">
        <v>142</v>
      </c>
      <c r="K108" s="13">
        <v>44313</v>
      </c>
      <c r="L108" t="s">
        <v>140</v>
      </c>
      <c r="M108" t="str">
        <f t="shared" si="2"/>
        <v>March</v>
      </c>
      <c r="N108">
        <f t="shared" si="3"/>
        <v>2021</v>
      </c>
    </row>
    <row r="109" spans="1:14" x14ac:dyDescent="0.25">
      <c r="A109">
        <v>107</v>
      </c>
      <c r="B109" s="52">
        <v>44279</v>
      </c>
      <c r="C109" s="2">
        <v>38.75</v>
      </c>
      <c r="D109" t="s">
        <v>143</v>
      </c>
      <c r="E109" t="s">
        <v>90</v>
      </c>
      <c r="F109" t="s">
        <v>204</v>
      </c>
      <c r="H109" t="s">
        <v>205</v>
      </c>
      <c r="I109" t="s">
        <v>205</v>
      </c>
      <c r="J109" t="s">
        <v>142</v>
      </c>
      <c r="K109" s="13">
        <v>44313</v>
      </c>
      <c r="L109" t="s">
        <v>140</v>
      </c>
      <c r="M109" t="str">
        <f t="shared" si="2"/>
        <v>March</v>
      </c>
      <c r="N109">
        <f t="shared" si="3"/>
        <v>2021</v>
      </c>
    </row>
    <row r="110" spans="1:14" x14ac:dyDescent="0.25">
      <c r="A110">
        <v>108</v>
      </c>
      <c r="B110" s="52">
        <v>44277</v>
      </c>
      <c r="C110" s="2">
        <v>46.66</v>
      </c>
      <c r="D110" t="s">
        <v>169</v>
      </c>
      <c r="E110" t="s">
        <v>90</v>
      </c>
      <c r="F110" t="s">
        <v>206</v>
      </c>
      <c r="H110" t="s">
        <v>205</v>
      </c>
      <c r="I110" t="s">
        <v>205</v>
      </c>
      <c r="J110" t="s">
        <v>142</v>
      </c>
      <c r="K110" s="13">
        <v>44313</v>
      </c>
      <c r="L110" t="s">
        <v>140</v>
      </c>
      <c r="M110" t="str">
        <f t="shared" si="2"/>
        <v>March</v>
      </c>
      <c r="N110">
        <f t="shared" si="3"/>
        <v>2021</v>
      </c>
    </row>
    <row r="111" spans="1:14" x14ac:dyDescent="0.25">
      <c r="A111">
        <v>109</v>
      </c>
      <c r="B111" s="52">
        <v>44275</v>
      </c>
      <c r="C111" s="2">
        <v>182.68</v>
      </c>
      <c r="D111" t="s">
        <v>170</v>
      </c>
      <c r="E111" t="s">
        <v>90</v>
      </c>
      <c r="F111" t="s">
        <v>207</v>
      </c>
      <c r="H111" t="s">
        <v>205</v>
      </c>
      <c r="I111" t="s">
        <v>205</v>
      </c>
      <c r="J111" t="s">
        <v>142</v>
      </c>
      <c r="K111" s="13">
        <v>44313</v>
      </c>
      <c r="L111" t="s">
        <v>140</v>
      </c>
      <c r="M111" t="str">
        <f t="shared" si="2"/>
        <v>March</v>
      </c>
      <c r="N111">
        <f t="shared" si="3"/>
        <v>2021</v>
      </c>
    </row>
    <row r="112" spans="1:14" x14ac:dyDescent="0.25">
      <c r="A112">
        <v>110</v>
      </c>
      <c r="B112" s="52">
        <v>44274</v>
      </c>
      <c r="C112" s="2">
        <v>42.8</v>
      </c>
      <c r="D112" t="s">
        <v>171</v>
      </c>
      <c r="E112" t="s">
        <v>90</v>
      </c>
      <c r="F112" t="s">
        <v>210</v>
      </c>
      <c r="H112" t="s">
        <v>205</v>
      </c>
      <c r="I112" t="s">
        <v>205</v>
      </c>
      <c r="J112" t="s">
        <v>142</v>
      </c>
      <c r="K112" s="13">
        <v>44313</v>
      </c>
      <c r="L112" t="s">
        <v>140</v>
      </c>
      <c r="M112" t="str">
        <f t="shared" si="2"/>
        <v>March</v>
      </c>
      <c r="N112">
        <f t="shared" si="3"/>
        <v>2021</v>
      </c>
    </row>
    <row r="113" spans="1:14" x14ac:dyDescent="0.25">
      <c r="A113">
        <v>111</v>
      </c>
      <c r="B113" s="52">
        <v>44275</v>
      </c>
      <c r="C113" s="2">
        <v>0.99</v>
      </c>
      <c r="D113" t="s">
        <v>146</v>
      </c>
      <c r="E113" t="s">
        <v>90</v>
      </c>
      <c r="F113" t="s">
        <v>204</v>
      </c>
      <c r="H113" t="s">
        <v>205</v>
      </c>
      <c r="I113" t="s">
        <v>205</v>
      </c>
      <c r="J113" t="s">
        <v>142</v>
      </c>
      <c r="K113" s="13">
        <v>44313</v>
      </c>
      <c r="L113" t="s">
        <v>140</v>
      </c>
      <c r="M113" t="str">
        <f t="shared" si="2"/>
        <v>March</v>
      </c>
      <c r="N113">
        <f t="shared" si="3"/>
        <v>2021</v>
      </c>
    </row>
    <row r="114" spans="1:14" x14ac:dyDescent="0.25">
      <c r="A114">
        <v>112</v>
      </c>
      <c r="B114" s="52">
        <v>44273</v>
      </c>
      <c r="C114" s="2">
        <v>74.16</v>
      </c>
      <c r="D114" t="s">
        <v>172</v>
      </c>
      <c r="E114" t="s">
        <v>90</v>
      </c>
      <c r="F114" t="s">
        <v>209</v>
      </c>
      <c r="H114" t="s">
        <v>205</v>
      </c>
      <c r="I114" t="s">
        <v>205</v>
      </c>
      <c r="J114" t="s">
        <v>142</v>
      </c>
      <c r="K114" s="13">
        <v>44313</v>
      </c>
      <c r="L114" t="s">
        <v>140</v>
      </c>
      <c r="M114" t="str">
        <f t="shared" si="2"/>
        <v>March</v>
      </c>
      <c r="N114">
        <f t="shared" si="3"/>
        <v>2021</v>
      </c>
    </row>
    <row r="115" spans="1:14" x14ac:dyDescent="0.25">
      <c r="A115">
        <v>113</v>
      </c>
      <c r="B115" s="52">
        <v>44272</v>
      </c>
      <c r="C115" s="2">
        <v>127.98</v>
      </c>
      <c r="D115" t="s">
        <v>173</v>
      </c>
      <c r="E115" t="s">
        <v>90</v>
      </c>
      <c r="F115" t="s">
        <v>215</v>
      </c>
      <c r="H115" t="s">
        <v>205</v>
      </c>
      <c r="I115" t="s">
        <v>205</v>
      </c>
      <c r="J115" t="s">
        <v>142</v>
      </c>
      <c r="K115" s="13">
        <v>44313</v>
      </c>
      <c r="L115" t="s">
        <v>140</v>
      </c>
      <c r="M115" t="str">
        <f t="shared" si="2"/>
        <v>March</v>
      </c>
      <c r="N115">
        <f t="shared" si="3"/>
        <v>2021</v>
      </c>
    </row>
    <row r="116" spans="1:14" x14ac:dyDescent="0.25">
      <c r="A116">
        <v>114</v>
      </c>
      <c r="B116" s="52">
        <v>44271</v>
      </c>
      <c r="C116" s="2">
        <v>17.28</v>
      </c>
      <c r="D116" t="s">
        <v>174</v>
      </c>
      <c r="E116" t="s">
        <v>90</v>
      </c>
      <c r="F116" t="s">
        <v>209</v>
      </c>
      <c r="H116" t="s">
        <v>205</v>
      </c>
      <c r="I116" t="s">
        <v>205</v>
      </c>
      <c r="J116" t="s">
        <v>142</v>
      </c>
      <c r="K116" s="13">
        <v>44313</v>
      </c>
      <c r="L116" t="s">
        <v>140</v>
      </c>
      <c r="M116" t="str">
        <f t="shared" si="2"/>
        <v>March</v>
      </c>
      <c r="N116">
        <f t="shared" si="3"/>
        <v>2021</v>
      </c>
    </row>
    <row r="117" spans="1:14" x14ac:dyDescent="0.25">
      <c r="A117">
        <v>115</v>
      </c>
      <c r="B117" s="52">
        <v>44271</v>
      </c>
      <c r="C117" s="2">
        <v>23.31</v>
      </c>
      <c r="D117" t="s">
        <v>175</v>
      </c>
      <c r="E117" t="s">
        <v>90</v>
      </c>
      <c r="F117" t="s">
        <v>209</v>
      </c>
      <c r="H117" t="s">
        <v>205</v>
      </c>
      <c r="I117" t="s">
        <v>205</v>
      </c>
      <c r="J117" t="s">
        <v>142</v>
      </c>
      <c r="K117" s="13">
        <v>44313</v>
      </c>
      <c r="L117" t="s">
        <v>140</v>
      </c>
      <c r="M117" t="str">
        <f t="shared" si="2"/>
        <v>March</v>
      </c>
      <c r="N117">
        <f t="shared" si="3"/>
        <v>2021</v>
      </c>
    </row>
    <row r="118" spans="1:14" x14ac:dyDescent="0.25">
      <c r="A118">
        <v>116</v>
      </c>
      <c r="B118" s="52">
        <v>44266</v>
      </c>
      <c r="C118" s="2">
        <v>2.14</v>
      </c>
      <c r="D118" t="s">
        <v>176</v>
      </c>
      <c r="E118" t="s">
        <v>90</v>
      </c>
      <c r="F118" t="s">
        <v>207</v>
      </c>
      <c r="H118" t="s">
        <v>205</v>
      </c>
      <c r="I118" t="s">
        <v>205</v>
      </c>
      <c r="J118" t="s">
        <v>142</v>
      </c>
      <c r="K118" s="13">
        <v>44313</v>
      </c>
      <c r="L118" t="s">
        <v>140</v>
      </c>
      <c r="M118" t="str">
        <f t="shared" si="2"/>
        <v>March</v>
      </c>
      <c r="N118">
        <f t="shared" si="3"/>
        <v>2021</v>
      </c>
    </row>
    <row r="119" spans="1:14" x14ac:dyDescent="0.25">
      <c r="A119">
        <v>117</v>
      </c>
      <c r="B119" s="52">
        <v>44269</v>
      </c>
      <c r="C119" s="2">
        <v>40.24</v>
      </c>
      <c r="D119" t="s">
        <v>177</v>
      </c>
      <c r="E119" t="s">
        <v>90</v>
      </c>
      <c r="F119" t="s">
        <v>207</v>
      </c>
      <c r="H119" t="s">
        <v>205</v>
      </c>
      <c r="I119" t="s">
        <v>205</v>
      </c>
      <c r="J119" t="s">
        <v>142</v>
      </c>
      <c r="K119" s="13">
        <v>44313</v>
      </c>
      <c r="L119" t="s">
        <v>140</v>
      </c>
      <c r="M119" t="str">
        <f t="shared" si="2"/>
        <v>March</v>
      </c>
      <c r="N119">
        <f t="shared" si="3"/>
        <v>2021</v>
      </c>
    </row>
    <row r="120" spans="1:14" x14ac:dyDescent="0.25">
      <c r="A120">
        <v>118</v>
      </c>
      <c r="B120" s="52">
        <v>44267</v>
      </c>
      <c r="C120" s="2">
        <v>4</v>
      </c>
      <c r="D120" t="s">
        <v>154</v>
      </c>
      <c r="E120" t="s">
        <v>90</v>
      </c>
      <c r="F120" t="s">
        <v>204</v>
      </c>
      <c r="H120" t="s">
        <v>205</v>
      </c>
      <c r="I120" t="s">
        <v>205</v>
      </c>
      <c r="J120" t="s">
        <v>142</v>
      </c>
      <c r="K120" s="13">
        <v>44313</v>
      </c>
      <c r="L120" t="s">
        <v>140</v>
      </c>
      <c r="M120" t="str">
        <f t="shared" si="2"/>
        <v>March</v>
      </c>
      <c r="N120">
        <f t="shared" si="3"/>
        <v>2021</v>
      </c>
    </row>
    <row r="121" spans="1:14" x14ac:dyDescent="0.25">
      <c r="A121">
        <v>119</v>
      </c>
      <c r="B121" s="52">
        <v>44264</v>
      </c>
      <c r="C121" s="2">
        <v>141.69</v>
      </c>
      <c r="D121" t="s">
        <v>169</v>
      </c>
      <c r="E121" t="s">
        <v>90</v>
      </c>
      <c r="F121" t="s">
        <v>206</v>
      </c>
      <c r="H121" t="s">
        <v>205</v>
      </c>
      <c r="I121" t="s">
        <v>205</v>
      </c>
      <c r="J121" t="s">
        <v>142</v>
      </c>
      <c r="K121" s="13">
        <v>44313</v>
      </c>
      <c r="L121" t="s">
        <v>140</v>
      </c>
      <c r="M121" t="str">
        <f t="shared" si="2"/>
        <v>March</v>
      </c>
      <c r="N121">
        <f t="shared" si="3"/>
        <v>2021</v>
      </c>
    </row>
    <row r="122" spans="1:14" x14ac:dyDescent="0.25">
      <c r="A122">
        <v>120</v>
      </c>
      <c r="B122" s="52">
        <v>44262</v>
      </c>
      <c r="C122" s="2">
        <v>25</v>
      </c>
      <c r="D122" t="s">
        <v>178</v>
      </c>
      <c r="E122" t="s">
        <v>90</v>
      </c>
      <c r="F122" t="s">
        <v>209</v>
      </c>
      <c r="H122" t="s">
        <v>205</v>
      </c>
      <c r="I122" t="s">
        <v>205</v>
      </c>
      <c r="J122" t="s">
        <v>142</v>
      </c>
      <c r="K122" s="13">
        <v>44313</v>
      </c>
      <c r="L122" t="s">
        <v>140</v>
      </c>
      <c r="M122" t="str">
        <f t="shared" si="2"/>
        <v>March</v>
      </c>
      <c r="N122">
        <f t="shared" si="3"/>
        <v>2021</v>
      </c>
    </row>
    <row r="123" spans="1:14" x14ac:dyDescent="0.25">
      <c r="A123">
        <v>121</v>
      </c>
      <c r="B123" s="52">
        <v>44258</v>
      </c>
      <c r="C123" s="2">
        <v>15.3</v>
      </c>
      <c r="D123" t="s">
        <v>179</v>
      </c>
      <c r="E123" t="s">
        <v>90</v>
      </c>
      <c r="F123" t="s">
        <v>207</v>
      </c>
      <c r="H123" t="s">
        <v>205</v>
      </c>
      <c r="I123" t="s">
        <v>205</v>
      </c>
      <c r="J123" t="s">
        <v>142</v>
      </c>
      <c r="K123" s="13">
        <v>44313</v>
      </c>
      <c r="L123" t="s">
        <v>140</v>
      </c>
      <c r="M123" t="str">
        <f t="shared" si="2"/>
        <v>March</v>
      </c>
      <c r="N123">
        <f t="shared" si="3"/>
        <v>2021</v>
      </c>
    </row>
    <row r="124" spans="1:14" x14ac:dyDescent="0.25">
      <c r="A124">
        <v>122</v>
      </c>
      <c r="B124" s="52">
        <v>44259</v>
      </c>
      <c r="C124" s="2">
        <v>11.65</v>
      </c>
      <c r="D124" t="s">
        <v>180</v>
      </c>
      <c r="E124" t="s">
        <v>90</v>
      </c>
      <c r="F124" t="s">
        <v>209</v>
      </c>
      <c r="H124" t="s">
        <v>205</v>
      </c>
      <c r="I124" t="s">
        <v>205</v>
      </c>
      <c r="J124" t="s">
        <v>142</v>
      </c>
      <c r="K124" s="13">
        <v>44313</v>
      </c>
      <c r="L124" t="s">
        <v>140</v>
      </c>
      <c r="M124" t="str">
        <f t="shared" si="2"/>
        <v>March</v>
      </c>
      <c r="N124">
        <f t="shared" si="3"/>
        <v>2021</v>
      </c>
    </row>
    <row r="125" spans="1:14" x14ac:dyDescent="0.25">
      <c r="A125">
        <v>123</v>
      </c>
      <c r="B125" s="52">
        <v>44259</v>
      </c>
      <c r="C125" s="2">
        <v>43.43</v>
      </c>
      <c r="D125" t="s">
        <v>181</v>
      </c>
      <c r="E125" t="s">
        <v>90</v>
      </c>
      <c r="F125" t="s">
        <v>209</v>
      </c>
      <c r="H125" t="s">
        <v>205</v>
      </c>
      <c r="I125" t="s">
        <v>205</v>
      </c>
      <c r="J125" t="s">
        <v>142</v>
      </c>
      <c r="K125" s="13">
        <v>44313</v>
      </c>
      <c r="L125" t="s">
        <v>140</v>
      </c>
      <c r="M125" t="str">
        <f t="shared" si="2"/>
        <v>March</v>
      </c>
      <c r="N125">
        <f t="shared" si="3"/>
        <v>2021</v>
      </c>
    </row>
    <row r="126" spans="1:14" x14ac:dyDescent="0.25">
      <c r="A126">
        <v>124</v>
      </c>
      <c r="B126" s="52">
        <v>44256</v>
      </c>
      <c r="C126" s="2">
        <v>40</v>
      </c>
      <c r="D126" t="s">
        <v>182</v>
      </c>
      <c r="E126" t="s">
        <v>90</v>
      </c>
      <c r="F126" t="s">
        <v>214</v>
      </c>
      <c r="H126" t="s">
        <v>205</v>
      </c>
      <c r="I126" t="s">
        <v>205</v>
      </c>
      <c r="J126" t="s">
        <v>142</v>
      </c>
      <c r="K126" s="13">
        <v>44313</v>
      </c>
      <c r="L126" t="s">
        <v>140</v>
      </c>
      <c r="M126" t="str">
        <f t="shared" si="2"/>
        <v>March</v>
      </c>
      <c r="N126">
        <f t="shared" si="3"/>
        <v>2021</v>
      </c>
    </row>
    <row r="127" spans="1:14" x14ac:dyDescent="0.25">
      <c r="A127">
        <v>125</v>
      </c>
      <c r="B127" s="52">
        <v>44257</v>
      </c>
      <c r="C127" s="2">
        <v>11.53</v>
      </c>
      <c r="D127" t="s">
        <v>183</v>
      </c>
      <c r="E127" t="s">
        <v>90</v>
      </c>
      <c r="F127" t="s">
        <v>207</v>
      </c>
      <c r="H127" t="s">
        <v>205</v>
      </c>
      <c r="I127" t="s">
        <v>205</v>
      </c>
      <c r="J127" t="s">
        <v>142</v>
      </c>
      <c r="K127" s="13">
        <v>44313</v>
      </c>
      <c r="L127" t="s">
        <v>140</v>
      </c>
      <c r="M127" t="str">
        <f t="shared" si="2"/>
        <v>March</v>
      </c>
      <c r="N127">
        <f t="shared" si="3"/>
        <v>2021</v>
      </c>
    </row>
    <row r="128" spans="1:14" x14ac:dyDescent="0.25">
      <c r="A128">
        <v>126</v>
      </c>
      <c r="B128" s="52">
        <v>44257</v>
      </c>
      <c r="C128" s="2">
        <v>16.95</v>
      </c>
      <c r="D128" t="s">
        <v>184</v>
      </c>
      <c r="E128" t="s">
        <v>90</v>
      </c>
      <c r="F128" t="s">
        <v>207</v>
      </c>
      <c r="H128" t="s">
        <v>205</v>
      </c>
      <c r="I128" t="s">
        <v>205</v>
      </c>
      <c r="J128" t="s">
        <v>142</v>
      </c>
      <c r="K128" s="13">
        <v>44313</v>
      </c>
      <c r="L128" t="s">
        <v>140</v>
      </c>
      <c r="M128" t="str">
        <f t="shared" si="2"/>
        <v>March</v>
      </c>
      <c r="N128">
        <f t="shared" si="3"/>
        <v>2021</v>
      </c>
    </row>
    <row r="129" spans="1:14" x14ac:dyDescent="0.25">
      <c r="A129">
        <v>127</v>
      </c>
      <c r="B129" s="52">
        <v>44255</v>
      </c>
      <c r="C129" s="2">
        <v>450.47</v>
      </c>
      <c r="D129" t="s">
        <v>185</v>
      </c>
      <c r="E129" t="s">
        <v>90</v>
      </c>
      <c r="F129" t="s">
        <v>215</v>
      </c>
      <c r="H129" t="s">
        <v>205</v>
      </c>
      <c r="I129" t="s">
        <v>205</v>
      </c>
      <c r="J129" t="s">
        <v>142</v>
      </c>
      <c r="K129" s="13">
        <v>44313</v>
      </c>
      <c r="L129" t="s">
        <v>140</v>
      </c>
      <c r="M129" t="str">
        <f t="shared" si="2"/>
        <v>February</v>
      </c>
      <c r="N129">
        <f t="shared" si="3"/>
        <v>2021</v>
      </c>
    </row>
    <row r="130" spans="1:14" x14ac:dyDescent="0.25">
      <c r="A130">
        <v>128</v>
      </c>
      <c r="B130" s="52">
        <v>44254</v>
      </c>
      <c r="C130" s="2">
        <v>21.5</v>
      </c>
      <c r="D130" t="s">
        <v>186</v>
      </c>
      <c r="E130" t="s">
        <v>90</v>
      </c>
      <c r="F130" t="s">
        <v>211</v>
      </c>
      <c r="H130" t="s">
        <v>205</v>
      </c>
      <c r="I130" t="s">
        <v>205</v>
      </c>
      <c r="J130" t="s">
        <v>142</v>
      </c>
      <c r="K130" s="13">
        <v>44313</v>
      </c>
      <c r="L130" t="s">
        <v>140</v>
      </c>
      <c r="M130" t="str">
        <f t="shared" si="2"/>
        <v>February</v>
      </c>
      <c r="N130">
        <f t="shared" si="3"/>
        <v>2021</v>
      </c>
    </row>
    <row r="131" spans="1:14" x14ac:dyDescent="0.25">
      <c r="A131">
        <v>129</v>
      </c>
      <c r="B131" s="52">
        <v>44251</v>
      </c>
      <c r="C131" s="2">
        <v>49.35</v>
      </c>
      <c r="D131" t="s">
        <v>143</v>
      </c>
      <c r="E131" t="s">
        <v>90</v>
      </c>
      <c r="F131" t="s">
        <v>204</v>
      </c>
      <c r="H131" t="s">
        <v>205</v>
      </c>
      <c r="I131" t="s">
        <v>205</v>
      </c>
      <c r="J131" t="s">
        <v>142</v>
      </c>
      <c r="K131" s="13">
        <v>44313</v>
      </c>
      <c r="L131" t="s">
        <v>140</v>
      </c>
      <c r="M131" t="str">
        <f t="shared" ref="M131:M157" si="4">TEXT(B131,"mmmm")</f>
        <v>February</v>
      </c>
      <c r="N131">
        <f t="shared" ref="N131:N157" si="5">YEAR(B131)</f>
        <v>2021</v>
      </c>
    </row>
    <row r="132" spans="1:14" x14ac:dyDescent="0.25">
      <c r="A132">
        <v>130</v>
      </c>
      <c r="B132" s="52">
        <v>44246</v>
      </c>
      <c r="C132" s="2">
        <v>238.5</v>
      </c>
      <c r="D132" t="s">
        <v>187</v>
      </c>
      <c r="E132" t="s">
        <v>90</v>
      </c>
      <c r="F132" t="s">
        <v>216</v>
      </c>
      <c r="H132" t="s">
        <v>205</v>
      </c>
      <c r="I132" t="s">
        <v>205</v>
      </c>
      <c r="J132" t="s">
        <v>142</v>
      </c>
      <c r="K132" s="13">
        <v>44313</v>
      </c>
      <c r="L132" t="s">
        <v>140</v>
      </c>
      <c r="M132" t="str">
        <f t="shared" si="4"/>
        <v>February</v>
      </c>
      <c r="N132">
        <f t="shared" si="5"/>
        <v>2021</v>
      </c>
    </row>
    <row r="133" spans="1:14" x14ac:dyDescent="0.25">
      <c r="A133">
        <v>131</v>
      </c>
      <c r="B133" s="52">
        <v>44246</v>
      </c>
      <c r="C133" s="2">
        <v>52.99</v>
      </c>
      <c r="D133" t="s">
        <v>169</v>
      </c>
      <c r="E133" t="s">
        <v>90</v>
      </c>
      <c r="F133" t="s">
        <v>206</v>
      </c>
      <c r="H133" t="s">
        <v>205</v>
      </c>
      <c r="I133" t="s">
        <v>205</v>
      </c>
      <c r="J133" t="s">
        <v>142</v>
      </c>
      <c r="K133" s="13">
        <v>44313</v>
      </c>
      <c r="L133" t="s">
        <v>140</v>
      </c>
      <c r="M133" t="str">
        <f t="shared" si="4"/>
        <v>February</v>
      </c>
      <c r="N133">
        <f t="shared" si="5"/>
        <v>2021</v>
      </c>
    </row>
    <row r="134" spans="1:14" x14ac:dyDescent="0.25">
      <c r="A134">
        <v>132</v>
      </c>
      <c r="B134" s="52">
        <v>44247</v>
      </c>
      <c r="C134" s="2">
        <v>0.99</v>
      </c>
      <c r="D134" t="s">
        <v>146</v>
      </c>
      <c r="E134" t="s">
        <v>90</v>
      </c>
      <c r="F134" t="s">
        <v>204</v>
      </c>
      <c r="H134" t="s">
        <v>205</v>
      </c>
      <c r="I134" t="s">
        <v>205</v>
      </c>
      <c r="J134" t="s">
        <v>142</v>
      </c>
      <c r="K134" s="13">
        <v>44313</v>
      </c>
      <c r="L134" t="s">
        <v>140</v>
      </c>
      <c r="M134" t="str">
        <f t="shared" si="4"/>
        <v>February</v>
      </c>
      <c r="N134">
        <f t="shared" si="5"/>
        <v>2021</v>
      </c>
    </row>
    <row r="135" spans="1:14" x14ac:dyDescent="0.25">
      <c r="A135">
        <v>133</v>
      </c>
      <c r="B135" s="52">
        <v>44244</v>
      </c>
      <c r="C135" s="2">
        <v>15.89</v>
      </c>
      <c r="D135" t="s">
        <v>188</v>
      </c>
      <c r="E135" t="s">
        <v>90</v>
      </c>
      <c r="F135" t="s">
        <v>215</v>
      </c>
      <c r="H135" t="s">
        <v>205</v>
      </c>
      <c r="I135" t="s">
        <v>205</v>
      </c>
      <c r="J135" t="s">
        <v>142</v>
      </c>
      <c r="K135" s="13">
        <v>44313</v>
      </c>
      <c r="L135" t="s">
        <v>140</v>
      </c>
      <c r="M135" t="str">
        <f t="shared" si="4"/>
        <v>February</v>
      </c>
      <c r="N135">
        <f t="shared" si="5"/>
        <v>2021</v>
      </c>
    </row>
    <row r="136" spans="1:14" x14ac:dyDescent="0.25">
      <c r="A136">
        <v>134</v>
      </c>
      <c r="B136" s="52">
        <v>44244</v>
      </c>
      <c r="C136" s="2">
        <v>119.17</v>
      </c>
      <c r="D136" t="s">
        <v>169</v>
      </c>
      <c r="E136" t="s">
        <v>90</v>
      </c>
      <c r="F136" t="s">
        <v>206</v>
      </c>
      <c r="H136" t="s">
        <v>205</v>
      </c>
      <c r="I136" t="s">
        <v>205</v>
      </c>
      <c r="J136" t="s">
        <v>142</v>
      </c>
      <c r="K136" s="13">
        <v>44313</v>
      </c>
      <c r="L136" t="s">
        <v>140</v>
      </c>
      <c r="M136" t="str">
        <f t="shared" si="4"/>
        <v>February</v>
      </c>
      <c r="N136">
        <f t="shared" si="5"/>
        <v>2021</v>
      </c>
    </row>
    <row r="137" spans="1:14" x14ac:dyDescent="0.25">
      <c r="A137">
        <v>135</v>
      </c>
      <c r="B137" s="52">
        <v>44243</v>
      </c>
      <c r="C137" s="2">
        <v>10.59</v>
      </c>
      <c r="D137" t="s">
        <v>188</v>
      </c>
      <c r="E137" t="s">
        <v>90</v>
      </c>
      <c r="F137" t="s">
        <v>215</v>
      </c>
      <c r="H137" t="s">
        <v>205</v>
      </c>
      <c r="I137" t="s">
        <v>205</v>
      </c>
      <c r="J137" t="s">
        <v>142</v>
      </c>
      <c r="K137" s="13">
        <v>44313</v>
      </c>
      <c r="L137" t="s">
        <v>140</v>
      </c>
      <c r="M137" t="str">
        <f t="shared" si="4"/>
        <v>February</v>
      </c>
      <c r="N137">
        <f t="shared" si="5"/>
        <v>2021</v>
      </c>
    </row>
    <row r="138" spans="1:14" x14ac:dyDescent="0.25">
      <c r="A138">
        <v>136</v>
      </c>
      <c r="B138" s="52">
        <v>44242</v>
      </c>
      <c r="C138" s="2">
        <v>108</v>
      </c>
      <c r="D138" t="s">
        <v>189</v>
      </c>
      <c r="E138" t="s">
        <v>90</v>
      </c>
      <c r="F138" t="s">
        <v>79</v>
      </c>
      <c r="H138" t="s">
        <v>205</v>
      </c>
      <c r="I138" t="s">
        <v>205</v>
      </c>
      <c r="J138" t="s">
        <v>142</v>
      </c>
      <c r="K138" s="13">
        <v>44313</v>
      </c>
      <c r="L138" t="s">
        <v>140</v>
      </c>
      <c r="M138" t="str">
        <f t="shared" si="4"/>
        <v>February</v>
      </c>
      <c r="N138">
        <f t="shared" si="5"/>
        <v>2021</v>
      </c>
    </row>
    <row r="139" spans="1:14" x14ac:dyDescent="0.25">
      <c r="A139">
        <v>137</v>
      </c>
      <c r="B139" s="52">
        <v>44239</v>
      </c>
      <c r="C139" s="2">
        <v>4</v>
      </c>
      <c r="D139" t="s">
        <v>154</v>
      </c>
      <c r="E139" t="s">
        <v>90</v>
      </c>
      <c r="F139" t="s">
        <v>204</v>
      </c>
      <c r="H139" t="s">
        <v>205</v>
      </c>
      <c r="I139" t="s">
        <v>205</v>
      </c>
      <c r="J139" t="s">
        <v>142</v>
      </c>
      <c r="K139" s="13">
        <v>44313</v>
      </c>
      <c r="L139" t="s">
        <v>140</v>
      </c>
      <c r="M139" t="str">
        <f t="shared" si="4"/>
        <v>February</v>
      </c>
      <c r="N139">
        <f t="shared" si="5"/>
        <v>2021</v>
      </c>
    </row>
    <row r="140" spans="1:14" x14ac:dyDescent="0.25">
      <c r="A140">
        <v>138</v>
      </c>
      <c r="B140" s="52">
        <v>44238</v>
      </c>
      <c r="C140" s="2">
        <v>82</v>
      </c>
      <c r="D140" t="s">
        <v>190</v>
      </c>
      <c r="E140" t="s">
        <v>90</v>
      </c>
      <c r="F140" t="s">
        <v>215</v>
      </c>
      <c r="H140" t="s">
        <v>205</v>
      </c>
      <c r="I140" t="s">
        <v>205</v>
      </c>
      <c r="J140" t="s">
        <v>142</v>
      </c>
      <c r="K140" s="13">
        <v>44313</v>
      </c>
      <c r="L140" t="s">
        <v>140</v>
      </c>
      <c r="M140" t="str">
        <f t="shared" si="4"/>
        <v>February</v>
      </c>
      <c r="N140">
        <f t="shared" si="5"/>
        <v>2021</v>
      </c>
    </row>
    <row r="141" spans="1:14" x14ac:dyDescent="0.25">
      <c r="A141">
        <v>139</v>
      </c>
      <c r="B141" s="52">
        <v>44238</v>
      </c>
      <c r="C141" s="2">
        <v>503</v>
      </c>
      <c r="D141" t="s">
        <v>191</v>
      </c>
      <c r="E141" t="s">
        <v>90</v>
      </c>
      <c r="F141" t="s">
        <v>216</v>
      </c>
      <c r="H141" t="s">
        <v>205</v>
      </c>
      <c r="I141" t="s">
        <v>205</v>
      </c>
      <c r="J141" t="s">
        <v>142</v>
      </c>
      <c r="K141" s="13">
        <v>44313</v>
      </c>
      <c r="L141" t="s">
        <v>140</v>
      </c>
      <c r="M141" t="str">
        <f t="shared" si="4"/>
        <v>February</v>
      </c>
      <c r="N141">
        <f t="shared" si="5"/>
        <v>2021</v>
      </c>
    </row>
    <row r="142" spans="1:14" x14ac:dyDescent="0.25">
      <c r="A142">
        <v>140</v>
      </c>
      <c r="B142" s="52">
        <v>44238</v>
      </c>
      <c r="C142" s="2">
        <v>7.48</v>
      </c>
      <c r="D142" t="s">
        <v>192</v>
      </c>
      <c r="E142" t="s">
        <v>90</v>
      </c>
      <c r="F142" t="s">
        <v>207</v>
      </c>
      <c r="H142" t="s">
        <v>205</v>
      </c>
      <c r="I142" t="s">
        <v>205</v>
      </c>
      <c r="J142" t="s">
        <v>142</v>
      </c>
      <c r="K142" s="13">
        <v>44313</v>
      </c>
      <c r="L142" t="s">
        <v>140</v>
      </c>
      <c r="M142" t="str">
        <f t="shared" si="4"/>
        <v>February</v>
      </c>
      <c r="N142">
        <f t="shared" si="5"/>
        <v>2021</v>
      </c>
    </row>
    <row r="143" spans="1:14" x14ac:dyDescent="0.25">
      <c r="A143">
        <v>141</v>
      </c>
      <c r="B143" s="52">
        <v>44236</v>
      </c>
      <c r="C143" s="2">
        <v>25.98</v>
      </c>
      <c r="D143" t="s">
        <v>193</v>
      </c>
      <c r="E143" t="s">
        <v>90</v>
      </c>
      <c r="F143" t="s">
        <v>207</v>
      </c>
      <c r="H143" t="s">
        <v>205</v>
      </c>
      <c r="I143" t="s">
        <v>205</v>
      </c>
      <c r="J143" t="s">
        <v>142</v>
      </c>
      <c r="K143" s="13">
        <v>44313</v>
      </c>
      <c r="L143" t="s">
        <v>140</v>
      </c>
      <c r="M143" t="str">
        <f t="shared" si="4"/>
        <v>February</v>
      </c>
      <c r="N143">
        <f t="shared" si="5"/>
        <v>2021</v>
      </c>
    </row>
    <row r="144" spans="1:14" x14ac:dyDescent="0.25">
      <c r="A144">
        <v>142</v>
      </c>
      <c r="B144" s="52">
        <v>44230</v>
      </c>
      <c r="C144" s="2">
        <v>7</v>
      </c>
      <c r="D144" t="s">
        <v>176</v>
      </c>
      <c r="E144" t="s">
        <v>90</v>
      </c>
      <c r="F144" t="s">
        <v>207</v>
      </c>
      <c r="H144" t="s">
        <v>205</v>
      </c>
      <c r="I144" t="s">
        <v>205</v>
      </c>
      <c r="J144" t="s">
        <v>142</v>
      </c>
      <c r="K144" s="13">
        <v>44313</v>
      </c>
      <c r="L144" t="s">
        <v>140</v>
      </c>
      <c r="M144" t="str">
        <f t="shared" si="4"/>
        <v>February</v>
      </c>
      <c r="N144">
        <f t="shared" si="5"/>
        <v>2021</v>
      </c>
    </row>
    <row r="145" spans="1:14" x14ac:dyDescent="0.25">
      <c r="A145">
        <v>143</v>
      </c>
      <c r="B145" s="52">
        <v>44229</v>
      </c>
      <c r="C145" s="2">
        <v>44.68</v>
      </c>
      <c r="D145" t="s">
        <v>194</v>
      </c>
      <c r="E145" t="s">
        <v>90</v>
      </c>
      <c r="F145" t="s">
        <v>215</v>
      </c>
      <c r="H145" t="s">
        <v>205</v>
      </c>
      <c r="I145" t="s">
        <v>205</v>
      </c>
      <c r="J145" t="s">
        <v>142</v>
      </c>
      <c r="K145" s="13">
        <v>44313</v>
      </c>
      <c r="L145" t="s">
        <v>140</v>
      </c>
      <c r="M145" t="str">
        <f t="shared" si="4"/>
        <v>February</v>
      </c>
      <c r="N145">
        <f t="shared" si="5"/>
        <v>2021</v>
      </c>
    </row>
    <row r="146" spans="1:14" x14ac:dyDescent="0.25">
      <c r="A146">
        <v>144</v>
      </c>
      <c r="B146" s="52">
        <v>44227</v>
      </c>
      <c r="C146" s="2">
        <v>46.64</v>
      </c>
      <c r="D146" t="s">
        <v>195</v>
      </c>
      <c r="E146" t="s">
        <v>90</v>
      </c>
      <c r="F146" t="s">
        <v>207</v>
      </c>
      <c r="H146" t="s">
        <v>205</v>
      </c>
      <c r="I146" t="s">
        <v>205</v>
      </c>
      <c r="J146" t="s">
        <v>142</v>
      </c>
      <c r="K146" s="13">
        <v>44313</v>
      </c>
      <c r="L146" t="s">
        <v>140</v>
      </c>
      <c r="M146" t="str">
        <f t="shared" si="4"/>
        <v>January</v>
      </c>
      <c r="N146">
        <f t="shared" si="5"/>
        <v>2021</v>
      </c>
    </row>
    <row r="147" spans="1:14" x14ac:dyDescent="0.25">
      <c r="A147">
        <v>145</v>
      </c>
      <c r="B147" s="52">
        <v>44226</v>
      </c>
      <c r="C147" s="2">
        <v>33.869999999999997</v>
      </c>
      <c r="D147" t="s">
        <v>169</v>
      </c>
      <c r="E147" t="s">
        <v>90</v>
      </c>
      <c r="F147" t="s">
        <v>206</v>
      </c>
      <c r="H147" t="s">
        <v>205</v>
      </c>
      <c r="I147" t="s">
        <v>205</v>
      </c>
      <c r="J147" t="s">
        <v>142</v>
      </c>
      <c r="K147" s="13">
        <v>44313</v>
      </c>
      <c r="L147" t="s">
        <v>140</v>
      </c>
      <c r="M147" t="str">
        <f t="shared" si="4"/>
        <v>January</v>
      </c>
      <c r="N147">
        <f t="shared" si="5"/>
        <v>2021</v>
      </c>
    </row>
    <row r="148" spans="1:14" x14ac:dyDescent="0.25">
      <c r="A148">
        <v>146</v>
      </c>
      <c r="B148" s="52">
        <v>44220</v>
      </c>
      <c r="C148" s="2">
        <v>66.33</v>
      </c>
      <c r="D148" t="s">
        <v>169</v>
      </c>
      <c r="E148" t="s">
        <v>90</v>
      </c>
      <c r="F148" t="s">
        <v>206</v>
      </c>
      <c r="H148" t="s">
        <v>205</v>
      </c>
      <c r="I148" t="s">
        <v>205</v>
      </c>
      <c r="J148" t="s">
        <v>142</v>
      </c>
      <c r="K148" s="13">
        <v>44313</v>
      </c>
      <c r="L148" t="s">
        <v>140</v>
      </c>
      <c r="M148" t="str">
        <f t="shared" si="4"/>
        <v>January</v>
      </c>
      <c r="N148">
        <f t="shared" si="5"/>
        <v>2021</v>
      </c>
    </row>
    <row r="149" spans="1:14" x14ac:dyDescent="0.25">
      <c r="A149">
        <v>147</v>
      </c>
      <c r="B149" s="52">
        <v>44218</v>
      </c>
      <c r="C149" s="2">
        <v>22.25</v>
      </c>
      <c r="D149" t="s">
        <v>196</v>
      </c>
      <c r="E149" t="s">
        <v>90</v>
      </c>
      <c r="F149" t="s">
        <v>215</v>
      </c>
      <c r="H149" t="s">
        <v>205</v>
      </c>
      <c r="I149" t="s">
        <v>205</v>
      </c>
      <c r="J149" t="s">
        <v>142</v>
      </c>
      <c r="K149" s="13">
        <v>44313</v>
      </c>
      <c r="L149" t="s">
        <v>140</v>
      </c>
      <c r="M149" t="str">
        <f t="shared" si="4"/>
        <v>January</v>
      </c>
      <c r="N149">
        <f t="shared" si="5"/>
        <v>2021</v>
      </c>
    </row>
    <row r="150" spans="1:14" x14ac:dyDescent="0.25">
      <c r="A150">
        <v>148</v>
      </c>
      <c r="B150" s="52">
        <v>44217</v>
      </c>
      <c r="C150" s="2">
        <v>53.36</v>
      </c>
      <c r="D150" t="s">
        <v>197</v>
      </c>
      <c r="E150" t="s">
        <v>90</v>
      </c>
      <c r="F150" t="s">
        <v>207</v>
      </c>
      <c r="H150" t="s">
        <v>205</v>
      </c>
      <c r="I150" t="s">
        <v>205</v>
      </c>
      <c r="J150" t="s">
        <v>142</v>
      </c>
      <c r="K150" s="13">
        <v>44313</v>
      </c>
      <c r="L150" t="s">
        <v>140</v>
      </c>
      <c r="M150" t="str">
        <f t="shared" si="4"/>
        <v>January</v>
      </c>
      <c r="N150">
        <f t="shared" si="5"/>
        <v>2021</v>
      </c>
    </row>
    <row r="151" spans="1:14" x14ac:dyDescent="0.25">
      <c r="A151">
        <v>149</v>
      </c>
      <c r="B151" s="52">
        <v>44209</v>
      </c>
      <c r="C151" s="2">
        <v>108.5</v>
      </c>
      <c r="D151" t="s">
        <v>198</v>
      </c>
      <c r="E151" t="s">
        <v>90</v>
      </c>
      <c r="F151" t="s">
        <v>210</v>
      </c>
      <c r="H151" t="s">
        <v>205</v>
      </c>
      <c r="I151" t="s">
        <v>205</v>
      </c>
      <c r="J151" t="s">
        <v>142</v>
      </c>
      <c r="K151" s="13">
        <v>44313</v>
      </c>
      <c r="L151" t="s">
        <v>140</v>
      </c>
      <c r="M151" t="str">
        <f t="shared" si="4"/>
        <v>January</v>
      </c>
      <c r="N151">
        <f t="shared" si="5"/>
        <v>2021</v>
      </c>
    </row>
    <row r="152" spans="1:14" x14ac:dyDescent="0.25">
      <c r="A152">
        <v>150</v>
      </c>
      <c r="B152" s="52">
        <v>44209</v>
      </c>
      <c r="C152" s="2">
        <v>30</v>
      </c>
      <c r="D152" t="s">
        <v>199</v>
      </c>
      <c r="E152" t="s">
        <v>90</v>
      </c>
      <c r="F152" t="s">
        <v>208</v>
      </c>
      <c r="H152" t="s">
        <v>205</v>
      </c>
      <c r="I152" t="s">
        <v>205</v>
      </c>
      <c r="J152" t="s">
        <v>142</v>
      </c>
      <c r="K152" s="13">
        <v>44313</v>
      </c>
      <c r="L152" t="s">
        <v>140</v>
      </c>
      <c r="M152" t="str">
        <f t="shared" si="4"/>
        <v>January</v>
      </c>
      <c r="N152">
        <f t="shared" si="5"/>
        <v>2021</v>
      </c>
    </row>
    <row r="153" spans="1:14" x14ac:dyDescent="0.25">
      <c r="A153">
        <v>151</v>
      </c>
      <c r="B153" s="52">
        <v>44206</v>
      </c>
      <c r="C153" s="2">
        <v>29.53</v>
      </c>
      <c r="D153" t="s">
        <v>200</v>
      </c>
      <c r="E153" t="s">
        <v>90</v>
      </c>
      <c r="F153" t="s">
        <v>207</v>
      </c>
      <c r="H153" t="s">
        <v>205</v>
      </c>
      <c r="I153" t="s">
        <v>205</v>
      </c>
      <c r="J153" t="s">
        <v>142</v>
      </c>
      <c r="K153" s="13">
        <v>44313</v>
      </c>
      <c r="L153" t="s">
        <v>140</v>
      </c>
      <c r="M153" t="str">
        <f t="shared" si="4"/>
        <v>January</v>
      </c>
      <c r="N153">
        <f t="shared" si="5"/>
        <v>2021</v>
      </c>
    </row>
    <row r="154" spans="1:14" x14ac:dyDescent="0.25">
      <c r="A154">
        <v>152</v>
      </c>
      <c r="B154" s="52">
        <v>44206</v>
      </c>
      <c r="C154" s="2">
        <v>60</v>
      </c>
      <c r="D154" t="s">
        <v>201</v>
      </c>
      <c r="E154" t="s">
        <v>90</v>
      </c>
      <c r="F154" t="s">
        <v>215</v>
      </c>
      <c r="H154" t="s">
        <v>205</v>
      </c>
      <c r="I154" t="s">
        <v>205</v>
      </c>
      <c r="J154" t="s">
        <v>142</v>
      </c>
      <c r="K154" s="13">
        <v>44313</v>
      </c>
      <c r="L154" t="s">
        <v>140</v>
      </c>
      <c r="M154" t="str">
        <f t="shared" si="4"/>
        <v>January</v>
      </c>
      <c r="N154">
        <f t="shared" si="5"/>
        <v>2021</v>
      </c>
    </row>
    <row r="155" spans="1:14" x14ac:dyDescent="0.25">
      <c r="A155">
        <v>153</v>
      </c>
      <c r="B155" s="52">
        <v>44198</v>
      </c>
      <c r="C155" s="2">
        <v>27.75</v>
      </c>
      <c r="D155" t="s">
        <v>202</v>
      </c>
      <c r="E155" t="s">
        <v>90</v>
      </c>
      <c r="F155" t="s">
        <v>215</v>
      </c>
      <c r="H155" t="s">
        <v>205</v>
      </c>
      <c r="I155" t="s">
        <v>205</v>
      </c>
      <c r="J155" t="s">
        <v>142</v>
      </c>
      <c r="K155" s="13">
        <v>44313</v>
      </c>
      <c r="L155" t="s">
        <v>140</v>
      </c>
      <c r="M155" t="str">
        <f t="shared" si="4"/>
        <v>January</v>
      </c>
      <c r="N155">
        <f t="shared" si="5"/>
        <v>2021</v>
      </c>
    </row>
    <row r="156" spans="1:14" x14ac:dyDescent="0.25">
      <c r="A156">
        <v>154</v>
      </c>
      <c r="B156" s="52">
        <v>44198</v>
      </c>
      <c r="C156" s="2">
        <v>5.98</v>
      </c>
      <c r="D156" t="s">
        <v>203</v>
      </c>
      <c r="E156" t="s">
        <v>90</v>
      </c>
      <c r="F156" t="s">
        <v>215</v>
      </c>
      <c r="H156" t="s">
        <v>205</v>
      </c>
      <c r="I156" t="s">
        <v>205</v>
      </c>
      <c r="J156" t="s">
        <v>142</v>
      </c>
      <c r="K156" s="13">
        <v>44313</v>
      </c>
      <c r="L156" t="s">
        <v>140</v>
      </c>
      <c r="M156" t="str">
        <f t="shared" si="4"/>
        <v>January</v>
      </c>
      <c r="N156">
        <f t="shared" si="5"/>
        <v>2021</v>
      </c>
    </row>
    <row r="157" spans="1:14" x14ac:dyDescent="0.25">
      <c r="A157">
        <v>155</v>
      </c>
      <c r="B157" s="52">
        <v>44198</v>
      </c>
      <c r="C157" s="2">
        <v>78.069999999999993</v>
      </c>
      <c r="D157" t="s">
        <v>169</v>
      </c>
      <c r="E157" t="s">
        <v>90</v>
      </c>
      <c r="F157" t="s">
        <v>206</v>
      </c>
      <c r="H157" t="s">
        <v>205</v>
      </c>
      <c r="I157" t="s">
        <v>205</v>
      </c>
      <c r="J157" t="s">
        <v>142</v>
      </c>
      <c r="K157" s="13">
        <v>44313</v>
      </c>
      <c r="L157" t="s">
        <v>140</v>
      </c>
      <c r="M157" t="str">
        <f t="shared" si="4"/>
        <v>January</v>
      </c>
      <c r="N157">
        <f t="shared" si="5"/>
        <v>2021</v>
      </c>
    </row>
  </sheetData>
  <sheetProtection formatCells="0" formatColumns="0" formatRows="0" sort="0" autoFilter="0" pivotTables="0"/>
  <autoFilter ref="A2:L2" xr:uid="{3F802A19-A867-4C64-943B-91A2164712DA}"/>
  <dataConsolidate link="1"/>
  <mergeCells count="1">
    <mergeCell ref="A1:L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8D22-3E8D-49B3-9B13-9E99D1ABAB91}">
  <sheetPr codeName="Sheet10">
    <tabColor rgb="FFC00000"/>
  </sheetPr>
  <dimension ref="B1:M21"/>
  <sheetViews>
    <sheetView showGridLines="0" workbookViewId="0"/>
  </sheetViews>
  <sheetFormatPr defaultRowHeight="15" x14ac:dyDescent="0.25"/>
  <cols>
    <col min="2" max="2" width="25.85546875" customWidth="1"/>
    <col min="3" max="3" width="23.140625" customWidth="1"/>
    <col min="4" max="4" width="18.5703125" customWidth="1"/>
    <col min="5" max="5" width="19.140625" customWidth="1"/>
    <col min="6" max="6" width="19" bestFit="1" customWidth="1"/>
    <col min="7" max="7" width="10" customWidth="1"/>
    <col min="8" max="8" width="11" customWidth="1"/>
    <col min="9" max="9" width="11.85546875" bestFit="1" customWidth="1"/>
    <col min="10" max="10" width="57.28515625" customWidth="1"/>
    <col min="11" max="11" width="14" bestFit="1" customWidth="1"/>
    <col min="12" max="12" width="14.5703125" bestFit="1" customWidth="1"/>
    <col min="13" max="13" width="21.5703125" customWidth="1"/>
  </cols>
  <sheetData>
    <row r="1" spans="2:13" s="3" customFormat="1" x14ac:dyDescent="0.25"/>
    <row r="2" spans="2:13" s="3" customFormat="1" ht="36" x14ac:dyDescent="0.55000000000000004">
      <c r="B2" s="4" t="s">
        <v>59</v>
      </c>
    </row>
    <row r="3" spans="2:13" s="3" customFormat="1" x14ac:dyDescent="0.25">
      <c r="B3" s="44" t="s">
        <v>44</v>
      </c>
      <c r="C3" s="49" t="s">
        <v>53</v>
      </c>
    </row>
    <row r="4" spans="2:13" s="7" customFormat="1" x14ac:dyDescent="0.25">
      <c r="B4" s="70" t="s">
        <v>60</v>
      </c>
      <c r="C4" s="50" t="s">
        <v>53</v>
      </c>
    </row>
    <row r="5" spans="2:13" ht="15.75" thickBot="1" x14ac:dyDescent="0.3"/>
    <row r="6" spans="2:13" ht="24" thickBot="1" x14ac:dyDescent="0.4">
      <c r="B6" s="33" t="s">
        <v>30</v>
      </c>
      <c r="C6" s="30">
        <f>IF($C$3="All",
IF($C$4="All",SUM(INDEX(ExpenseList,,3)),
SUMIFS(INDEX(ExpenseList,,3),INDEX(ExpenseList,,6),$C$4)),
IF($C$4="All",SUMIFS(INDEX(ExpenseList,,3),INDEX(ExpenseList,,14),$C$3),
SUMIFS(INDEX(ExpenseList,,3),INDEX(ExpenseList,,6),$C$4,INDEX(ExpenseList,,14),$C$3)))</f>
        <v>0</v>
      </c>
    </row>
    <row r="7" spans="2:13" ht="15.75" thickBot="1" x14ac:dyDescent="0.3">
      <c r="H7" s="36"/>
    </row>
    <row r="8" spans="2:13" ht="15.75" thickBot="1" x14ac:dyDescent="0.3">
      <c r="B8" s="76" t="s">
        <v>6</v>
      </c>
      <c r="C8" s="77" t="s">
        <v>49</v>
      </c>
      <c r="D8" s="77" t="s">
        <v>48</v>
      </c>
      <c r="E8" s="77" t="s">
        <v>51</v>
      </c>
      <c r="F8" s="78" t="s">
        <v>52</v>
      </c>
      <c r="H8" s="36" t="s">
        <v>3</v>
      </c>
      <c r="I8" s="56" t="s">
        <v>2</v>
      </c>
      <c r="J8" s="53" t="s">
        <v>5</v>
      </c>
      <c r="K8" s="36" t="s">
        <v>6</v>
      </c>
      <c r="L8" s="36" t="s">
        <v>1</v>
      </c>
      <c r="M8" s="36" t="s">
        <v>16</v>
      </c>
    </row>
    <row r="9" spans="2:13" x14ac:dyDescent="0.25">
      <c r="B9" s="31" t="s">
        <v>31</v>
      </c>
      <c r="C9" s="72">
        <f t="shared" ref="C9:C20" si="0">IF(B9="",0,IF($C$3="All",
IF($C$4="All",SUMIFS(INDEX(ExpenseList,,3),INDEX(ExpenseList,,13),B9),
SUMIFS(INDEX(ExpenseList,,3),INDEX(ExpenseList,,13),B9,INDEX(ExpenseList,,6),$C$4)),
IF($C$4="All",SUMIFS(INDEX(ExpenseList,,3),INDEX(ExpenseList,,13),B9,INDEX(ExpenseList,,14),$C$3),
SUMIFS(INDEX(ExpenseList,,3),INDEX(ExpenseList,,13),B9,INDEX(ExpenseList,,6),$C$4,INDEX(ExpenseList,,14),$C$3))))</f>
        <v>0</v>
      </c>
      <c r="D9" s="72" t="e">
        <f>INDEX('Main Tab'!$F$11:$G$30,MATCH('Category Dashboard'!$C$4,'Main Tab'!$F$11:$F$30,0),2)</f>
        <v>#N/A</v>
      </c>
      <c r="E9" s="73" t="e">
        <f>D9-C9</f>
        <v>#N/A</v>
      </c>
      <c r="F9" s="74" t="e">
        <f>IF(C9/$C$6=0,"",C9/$C$6)</f>
        <v>#DIV/0!</v>
      </c>
      <c r="H9" s="54"/>
      <c r="I9" s="34"/>
    </row>
    <row r="10" spans="2:13" x14ac:dyDescent="0.25">
      <c r="B10" s="14" t="s">
        <v>32</v>
      </c>
      <c r="C10" s="35">
        <f t="shared" si="0"/>
        <v>0</v>
      </c>
      <c r="D10" s="35" t="e">
        <f>INDEX('Main Tab'!$F$11:$G$30,MATCH('Category Dashboard'!$C$4,'Main Tab'!$F$11:$F$30,0),2)</f>
        <v>#N/A</v>
      </c>
      <c r="E10" s="42" t="e">
        <f t="shared" ref="E10:E20" si="1">D10-C10</f>
        <v>#N/A</v>
      </c>
      <c r="F10" s="38" t="e">
        <f t="shared" ref="F10:F20" si="2">IF(C10/$C$6=0,"",C10/$C$6)</f>
        <v>#DIV/0!</v>
      </c>
    </row>
    <row r="11" spans="2:13" x14ac:dyDescent="0.25">
      <c r="B11" s="14" t="s">
        <v>33</v>
      </c>
      <c r="C11" s="35">
        <f t="shared" si="0"/>
        <v>0</v>
      </c>
      <c r="D11" s="35" t="e">
        <f>INDEX('Main Tab'!$F$11:$G$30,MATCH('Category Dashboard'!$C$4,'Main Tab'!$F$11:$F$30,0),2)</f>
        <v>#N/A</v>
      </c>
      <c r="E11" s="42" t="e">
        <f t="shared" si="1"/>
        <v>#N/A</v>
      </c>
      <c r="F11" s="38" t="e">
        <f t="shared" si="2"/>
        <v>#DIV/0!</v>
      </c>
    </row>
    <row r="12" spans="2:13" x14ac:dyDescent="0.25">
      <c r="B12" s="14" t="s">
        <v>34</v>
      </c>
      <c r="C12" s="35">
        <f t="shared" si="0"/>
        <v>0</v>
      </c>
      <c r="D12" s="35" t="e">
        <f>INDEX('Main Tab'!$F$11:$G$30,MATCH('Category Dashboard'!$C$4,'Main Tab'!$F$11:$F$30,0),2)</f>
        <v>#N/A</v>
      </c>
      <c r="E12" s="42" t="e">
        <f t="shared" si="1"/>
        <v>#N/A</v>
      </c>
      <c r="F12" s="38" t="e">
        <f t="shared" si="2"/>
        <v>#DIV/0!</v>
      </c>
    </row>
    <row r="13" spans="2:13" x14ac:dyDescent="0.25">
      <c r="B13" s="14" t="s">
        <v>35</v>
      </c>
      <c r="C13" s="35">
        <f t="shared" si="0"/>
        <v>0</v>
      </c>
      <c r="D13" s="35" t="e">
        <f>INDEX('Main Tab'!$F$11:$G$30,MATCH('Category Dashboard'!$C$4,'Main Tab'!$F$11:$F$30,0),2)</f>
        <v>#N/A</v>
      </c>
      <c r="E13" s="42" t="e">
        <f t="shared" si="1"/>
        <v>#N/A</v>
      </c>
      <c r="F13" s="38" t="e">
        <f t="shared" si="2"/>
        <v>#DIV/0!</v>
      </c>
    </row>
    <row r="14" spans="2:13" x14ac:dyDescent="0.25">
      <c r="B14" s="14" t="s">
        <v>36</v>
      </c>
      <c r="C14" s="35">
        <f t="shared" si="0"/>
        <v>0</v>
      </c>
      <c r="D14" s="35" t="e">
        <f>INDEX('Main Tab'!$F$11:$G$30,MATCH('Category Dashboard'!$C$4,'Main Tab'!$F$11:$F$30,0),2)</f>
        <v>#N/A</v>
      </c>
      <c r="E14" s="42" t="e">
        <f t="shared" si="1"/>
        <v>#N/A</v>
      </c>
      <c r="F14" s="38" t="e">
        <f t="shared" si="2"/>
        <v>#DIV/0!</v>
      </c>
    </row>
    <row r="15" spans="2:13" x14ac:dyDescent="0.25">
      <c r="B15" s="14" t="s">
        <v>37</v>
      </c>
      <c r="C15" s="35">
        <f t="shared" si="0"/>
        <v>0</v>
      </c>
      <c r="D15" s="35" t="e">
        <f>INDEX('Main Tab'!$F$11:$G$30,MATCH('Category Dashboard'!$C$4,'Main Tab'!$F$11:$F$30,0),2)</f>
        <v>#N/A</v>
      </c>
      <c r="E15" s="42" t="e">
        <f t="shared" si="1"/>
        <v>#N/A</v>
      </c>
      <c r="F15" s="38" t="e">
        <f t="shared" si="2"/>
        <v>#DIV/0!</v>
      </c>
    </row>
    <row r="16" spans="2:13" x14ac:dyDescent="0.25">
      <c r="B16" s="14" t="s">
        <v>38</v>
      </c>
      <c r="C16" s="35">
        <f t="shared" si="0"/>
        <v>0</v>
      </c>
      <c r="D16" s="35" t="e">
        <f>INDEX('Main Tab'!$F$11:$G$30,MATCH('Category Dashboard'!$C$4,'Main Tab'!$F$11:$F$30,0),2)</f>
        <v>#N/A</v>
      </c>
      <c r="E16" s="42" t="e">
        <f t="shared" si="1"/>
        <v>#N/A</v>
      </c>
      <c r="F16" s="38" t="e">
        <f t="shared" si="2"/>
        <v>#DIV/0!</v>
      </c>
    </row>
    <row r="17" spans="2:6" x14ac:dyDescent="0.25">
      <c r="B17" s="14" t="s">
        <v>39</v>
      </c>
      <c r="C17" s="35">
        <f t="shared" si="0"/>
        <v>0</v>
      </c>
      <c r="D17" s="35" t="e">
        <f>INDEX('Main Tab'!$F$11:$G$30,MATCH('Category Dashboard'!$C$4,'Main Tab'!$F$11:$F$30,0),2)</f>
        <v>#N/A</v>
      </c>
      <c r="E17" s="42" t="e">
        <f t="shared" si="1"/>
        <v>#N/A</v>
      </c>
      <c r="F17" s="38" t="e">
        <f t="shared" si="2"/>
        <v>#DIV/0!</v>
      </c>
    </row>
    <row r="18" spans="2:6" x14ac:dyDescent="0.25">
      <c r="B18" s="14" t="s">
        <v>40</v>
      </c>
      <c r="C18" s="35">
        <f t="shared" si="0"/>
        <v>0</v>
      </c>
      <c r="D18" s="35" t="e">
        <f>INDEX('Main Tab'!$F$11:$G$30,MATCH('Category Dashboard'!$C$4,'Main Tab'!$F$11:$F$30,0),2)</f>
        <v>#N/A</v>
      </c>
      <c r="E18" s="42" t="e">
        <f t="shared" si="1"/>
        <v>#N/A</v>
      </c>
      <c r="F18" s="38" t="e">
        <f t="shared" si="2"/>
        <v>#DIV/0!</v>
      </c>
    </row>
    <row r="19" spans="2:6" x14ac:dyDescent="0.25">
      <c r="B19" s="14" t="s">
        <v>41</v>
      </c>
      <c r="C19" s="35">
        <f t="shared" si="0"/>
        <v>0</v>
      </c>
      <c r="D19" s="35" t="e">
        <f>INDEX('Main Tab'!$F$11:$G$30,MATCH('Category Dashboard'!$C$4,'Main Tab'!$F$11:$F$30,0),2)</f>
        <v>#N/A</v>
      </c>
      <c r="E19" s="42" t="e">
        <f t="shared" si="1"/>
        <v>#N/A</v>
      </c>
      <c r="F19" s="38" t="e">
        <f t="shared" si="2"/>
        <v>#DIV/0!</v>
      </c>
    </row>
    <row r="20" spans="2:6" ht="15.75" thickBot="1" x14ac:dyDescent="0.3">
      <c r="B20" s="15" t="s">
        <v>42</v>
      </c>
      <c r="C20" s="39">
        <f t="shared" si="0"/>
        <v>0</v>
      </c>
      <c r="D20" s="39" t="e">
        <f>INDEX('Main Tab'!$F$11:$G$30,MATCH('Category Dashboard'!$C$4,'Main Tab'!$F$11:$F$30,0),2)</f>
        <v>#N/A</v>
      </c>
      <c r="E20" s="43" t="e">
        <f t="shared" si="1"/>
        <v>#N/A</v>
      </c>
      <c r="F20" s="40" t="e">
        <f t="shared" si="2"/>
        <v>#DIV/0!</v>
      </c>
    </row>
    <row r="21" spans="2:6" ht="15.75" thickBot="1" x14ac:dyDescent="0.3">
      <c r="B21" s="80" t="s">
        <v>62</v>
      </c>
      <c r="C21" s="81">
        <f>SUM(C9:C20)/COUNT(C9:C20)</f>
        <v>0</v>
      </c>
      <c r="D21" s="24" t="s">
        <v>50</v>
      </c>
      <c r="E21" s="37" t="e">
        <f>SUM(E9:E20)</f>
        <v>#N/A</v>
      </c>
      <c r="F21" s="79"/>
    </row>
  </sheetData>
  <sheetProtection sheet="1" objects="1" scenarios="1" autoFilter="0"/>
  <protectedRanges>
    <protectedRange sqref="C3:C4" name="Range1"/>
  </protectedRanges>
  <conditionalFormatting sqref="E9:E20">
    <cfRule type="dataBar" priority="5">
      <dataBar>
        <cfvo type="min"/>
        <cfvo type="max"/>
        <color rgb="FF63C384"/>
      </dataBar>
      <extLst>
        <ext xmlns:x14="http://schemas.microsoft.com/office/spreadsheetml/2009/9/main" uri="{B025F937-C7B1-47D3-B67F-A62EFF666E3E}">
          <x14:id>{776B2BC4-66D8-4406-AEE5-A0A780F9BBF1}</x14:id>
        </ext>
      </extLst>
    </cfRule>
  </conditionalFormatting>
  <conditionalFormatting sqref="F9:F21">
    <cfRule type="colorScale" priority="6">
      <colorScale>
        <cfvo type="min"/>
        <cfvo type="max"/>
        <color rgb="FFFCFCFF"/>
        <color rgb="FFF8696B"/>
      </colorScale>
    </cfRule>
  </conditionalFormatting>
  <dataValidations count="2">
    <dataValidation type="list" allowBlank="1" showInputMessage="1" showErrorMessage="1" sqref="C4" xr:uid="{A529442D-9B0A-4A46-8F9E-45E41966C2EF}">
      <formula1>Cat_List</formula1>
    </dataValidation>
    <dataValidation type="list" allowBlank="1" showInputMessage="1" showErrorMessage="1" sqref="C3" xr:uid="{B48DB9A7-FDDB-4069-8CD7-5055A27B64CA}">
      <formula1>Year_List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ThisWorkbook.GetTransactions">
                <anchor moveWithCells="1">
                  <from>
                    <xdr:col>7</xdr:col>
                    <xdr:colOff>28575</xdr:colOff>
                    <xdr:row>5</xdr:row>
                    <xdr:rowOff>47625</xdr:rowOff>
                  </from>
                  <to>
                    <xdr:col>8</xdr:col>
                    <xdr:colOff>590550</xdr:colOff>
                    <xdr:row>6</xdr:row>
                    <xdr:rowOff>57150</xdr:rowOff>
                  </to>
                </anchor>
              </controlPr>
            </control>
          </mc:Choice>
        </mc:AlternateContent>
      </controls>
    </mc:Choice>
  </mc:AlternateContent>
  <tableParts count="1">
    <tablePart r:id="rId4"/>
  </tableParts>
  <extLst>
    <ext xmlns:x14="http://schemas.microsoft.com/office/spreadsheetml/2009/9/main" uri="{78C0D931-6437-407d-A8EE-F0AAD7539E65}">
      <x14:conditionalFormattings>
        <x14:conditionalFormatting xmlns:xm="http://schemas.microsoft.com/office/excel/2006/main">
          <x14:cfRule type="dataBar" id="{776B2BC4-66D8-4406-AEE5-A0A780F9BBF1}">
            <x14:dataBar minLength="0" maxLength="100" gradient="0">
              <x14:cfvo type="autoMin"/>
              <x14:cfvo type="autoMax"/>
              <x14:negativeFillColor rgb="FFFF0000"/>
              <x14:axisColor rgb="FF000000"/>
            </x14:dataBar>
          </x14:cfRule>
          <xm:sqref>E9:E20</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0F31D-02E4-400D-9405-E29DE91526E8}">
  <sheetPr codeName="Sheet1">
    <tabColor rgb="FF7030A0"/>
  </sheetPr>
  <dimension ref="B1:R42"/>
  <sheetViews>
    <sheetView showGridLines="0" workbookViewId="0"/>
  </sheetViews>
  <sheetFormatPr defaultRowHeight="15" x14ac:dyDescent="0.25"/>
  <cols>
    <col min="2" max="2" width="25.85546875" customWidth="1"/>
    <col min="3" max="3" width="24" customWidth="1"/>
    <col min="4" max="4" width="51.85546875" customWidth="1"/>
    <col min="5" max="5" width="10.85546875" customWidth="1"/>
    <col min="6" max="6" width="7.28515625" customWidth="1"/>
    <col min="7" max="7" width="6.140625" customWidth="1"/>
    <col min="8" max="8" width="11" customWidth="1"/>
    <col min="9" max="9" width="11.85546875" bestFit="1" customWidth="1"/>
    <col min="10" max="10" width="57.28515625" customWidth="1"/>
    <col min="11" max="11" width="14" bestFit="1" customWidth="1"/>
    <col min="12" max="12" width="14.5703125" bestFit="1" customWidth="1"/>
    <col min="13" max="13" width="21.5703125" customWidth="1"/>
  </cols>
  <sheetData>
    <row r="1" spans="2:13" s="3" customFormat="1" x14ac:dyDescent="0.25"/>
    <row r="2" spans="2:13" s="3" customFormat="1" ht="36" x14ac:dyDescent="0.55000000000000004">
      <c r="B2" s="4" t="s">
        <v>55</v>
      </c>
      <c r="C2" s="47"/>
    </row>
    <row r="3" spans="2:13" s="3" customFormat="1" x14ac:dyDescent="0.25">
      <c r="B3" s="48" t="s">
        <v>44</v>
      </c>
      <c r="C3" s="49" t="s">
        <v>53</v>
      </c>
    </row>
    <row r="4" spans="2:13" s="7" customFormat="1" x14ac:dyDescent="0.25"/>
    <row r="5" spans="2:13" ht="15.75" thickBot="1" x14ac:dyDescent="0.3">
      <c r="D5" s="46"/>
    </row>
    <row r="6" spans="2:13" ht="24" thickBot="1" x14ac:dyDescent="0.4">
      <c r="B6" s="33" t="s">
        <v>30</v>
      </c>
      <c r="C6" s="30">
        <f>IF($C$3="All",SUM(INDEX(ExpenseList,,3)),SUMIF(INDEX(ExpenseList,,14),$C$3,INDEX(ExpenseList,,3)))</f>
        <v>0</v>
      </c>
    </row>
    <row r="7" spans="2:13" ht="15.75" thickBot="1" x14ac:dyDescent="0.3"/>
    <row r="8" spans="2:13" ht="15.75" thickBot="1" x14ac:dyDescent="0.3">
      <c r="B8" s="17" t="s">
        <v>43</v>
      </c>
      <c r="C8" s="18" t="s">
        <v>49</v>
      </c>
      <c r="H8" s="60" t="s">
        <v>3</v>
      </c>
      <c r="I8" s="61" t="s">
        <v>2</v>
      </c>
      <c r="J8" s="62" t="s">
        <v>5</v>
      </c>
      <c r="K8" s="63" t="s">
        <v>6</v>
      </c>
      <c r="L8" s="63" t="s">
        <v>1</v>
      </c>
      <c r="M8" s="64" t="s">
        <v>16</v>
      </c>
    </row>
    <row r="9" spans="2:13" x14ac:dyDescent="0.25">
      <c r="B9" s="16" t="s">
        <v>31</v>
      </c>
      <c r="C9" s="19">
        <f t="shared" ref="C9:C20" si="0">IF($C$3="All",SUMIFS(INDEX(ExpenseList,,3),INDEX(ExpenseList,,13),B9),SUMIFS(INDEX(ExpenseList,,3),INDEX(ExpenseList,,13),B9,INDEX(ExpenseList,,14),$C$3))</f>
        <v>0</v>
      </c>
      <c r="H9" s="54"/>
      <c r="I9" s="55"/>
    </row>
    <row r="10" spans="2:13" x14ac:dyDescent="0.25">
      <c r="B10" s="14" t="s">
        <v>32</v>
      </c>
      <c r="C10" s="20">
        <f t="shared" si="0"/>
        <v>0</v>
      </c>
    </row>
    <row r="11" spans="2:13" x14ac:dyDescent="0.25">
      <c r="B11" s="14" t="s">
        <v>33</v>
      </c>
      <c r="C11" s="20">
        <f t="shared" si="0"/>
        <v>0</v>
      </c>
    </row>
    <row r="12" spans="2:13" x14ac:dyDescent="0.25">
      <c r="B12" s="14" t="s">
        <v>34</v>
      </c>
      <c r="C12" s="20">
        <f t="shared" si="0"/>
        <v>0</v>
      </c>
    </row>
    <row r="13" spans="2:13" x14ac:dyDescent="0.25">
      <c r="B13" s="14" t="s">
        <v>35</v>
      </c>
      <c r="C13" s="20">
        <f t="shared" si="0"/>
        <v>0</v>
      </c>
    </row>
    <row r="14" spans="2:13" x14ac:dyDescent="0.25">
      <c r="B14" s="14" t="s">
        <v>36</v>
      </c>
      <c r="C14" s="20">
        <f t="shared" si="0"/>
        <v>0</v>
      </c>
    </row>
    <row r="15" spans="2:13" x14ac:dyDescent="0.25">
      <c r="B15" s="14" t="s">
        <v>37</v>
      </c>
      <c r="C15" s="20">
        <f t="shared" si="0"/>
        <v>0</v>
      </c>
    </row>
    <row r="16" spans="2:13" x14ac:dyDescent="0.25">
      <c r="B16" s="14" t="s">
        <v>38</v>
      </c>
      <c r="C16" s="20">
        <f t="shared" si="0"/>
        <v>0</v>
      </c>
    </row>
    <row r="17" spans="2:18" x14ac:dyDescent="0.25">
      <c r="B17" s="14" t="s">
        <v>39</v>
      </c>
      <c r="C17" s="20">
        <f t="shared" si="0"/>
        <v>0</v>
      </c>
    </row>
    <row r="18" spans="2:18" x14ac:dyDescent="0.25">
      <c r="B18" s="14" t="s">
        <v>40</v>
      </c>
      <c r="C18" s="20">
        <f t="shared" si="0"/>
        <v>0</v>
      </c>
    </row>
    <row r="19" spans="2:18" x14ac:dyDescent="0.25">
      <c r="B19" s="14" t="s">
        <v>41</v>
      </c>
      <c r="C19" s="20">
        <f t="shared" si="0"/>
        <v>0</v>
      </c>
    </row>
    <row r="20" spans="2:18" ht="15.75" thickBot="1" x14ac:dyDescent="0.3">
      <c r="B20" s="15" t="s">
        <v>42</v>
      </c>
      <c r="C20" s="21">
        <f t="shared" si="0"/>
        <v>0</v>
      </c>
      <c r="R20" s="45"/>
    </row>
    <row r="21" spans="2:18" ht="15.75" thickBot="1" x14ac:dyDescent="0.3"/>
    <row r="22" spans="2:18" ht="15.75" thickBot="1" x14ac:dyDescent="0.3">
      <c r="B22" s="17" t="s">
        <v>6</v>
      </c>
      <c r="C22" s="18" t="s">
        <v>49</v>
      </c>
    </row>
    <row r="23" spans="2:18" x14ac:dyDescent="0.25">
      <c r="B23" s="31" t="str">
        <f>IF(INDEX(BudgetCat,1)=0,"",INDEX(BudgetCat,1))</f>
        <v/>
      </c>
      <c r="C23" s="32">
        <f t="shared" ref="C23:C42" si="1">IF(B23="", 0, IF($C$3="All",SUMIFS(INDEX(ExpenseList,,3),INDEX(ExpenseList,,6),B23),SUMIFS(INDEX(ExpenseList,,3),INDEX(ExpenseList,,6),B23,INDEX(ExpenseList,,14),$C$3)))</f>
        <v>0</v>
      </c>
    </row>
    <row r="24" spans="2:18" x14ac:dyDescent="0.25">
      <c r="B24" s="14" t="str">
        <f>IF(INDEX(BudgetCat,2)=0,"",INDEX(BudgetCat,2))</f>
        <v/>
      </c>
      <c r="C24" s="20">
        <f t="shared" si="1"/>
        <v>0</v>
      </c>
    </row>
    <row r="25" spans="2:18" x14ac:dyDescent="0.25">
      <c r="B25" s="14" t="str">
        <f>IF(INDEX(BudgetCat,3)=0,"",INDEX(BudgetCat,3))</f>
        <v/>
      </c>
      <c r="C25" s="20">
        <f t="shared" si="1"/>
        <v>0</v>
      </c>
    </row>
    <row r="26" spans="2:18" x14ac:dyDescent="0.25">
      <c r="B26" s="14" t="str">
        <f>IF(INDEX(BudgetCat,4)=0,"",INDEX(BudgetCat,4))</f>
        <v/>
      </c>
      <c r="C26" s="20">
        <f t="shared" si="1"/>
        <v>0</v>
      </c>
    </row>
    <row r="27" spans="2:18" x14ac:dyDescent="0.25">
      <c r="B27" s="14" t="str">
        <f>IF(INDEX(BudgetCat,5)=0,"",INDEX(BudgetCat,5))</f>
        <v/>
      </c>
      <c r="C27" s="20">
        <f t="shared" si="1"/>
        <v>0</v>
      </c>
    </row>
    <row r="28" spans="2:18" x14ac:dyDescent="0.25">
      <c r="B28" s="14" t="str">
        <f>IF(INDEX(BudgetCat,6)=0,"",INDEX(BudgetCat,6))</f>
        <v/>
      </c>
      <c r="C28" s="20">
        <f t="shared" si="1"/>
        <v>0</v>
      </c>
    </row>
    <row r="29" spans="2:18" x14ac:dyDescent="0.25">
      <c r="B29" s="14" t="str">
        <f>IF(INDEX(BudgetCat,7)=0,"",INDEX(BudgetCat,7))</f>
        <v/>
      </c>
      <c r="C29" s="20">
        <f t="shared" si="1"/>
        <v>0</v>
      </c>
    </row>
    <row r="30" spans="2:18" x14ac:dyDescent="0.25">
      <c r="B30" s="14" t="str">
        <f>IF(INDEX(BudgetCat,8)=0,"",INDEX(BudgetCat,8))</f>
        <v/>
      </c>
      <c r="C30" s="20">
        <f t="shared" si="1"/>
        <v>0</v>
      </c>
    </row>
    <row r="31" spans="2:18" x14ac:dyDescent="0.25">
      <c r="B31" s="14" t="str">
        <f>IF(INDEX(BudgetCat,9)=0,"",INDEX(BudgetCat,9))</f>
        <v/>
      </c>
      <c r="C31" s="20">
        <f t="shared" si="1"/>
        <v>0</v>
      </c>
    </row>
    <row r="32" spans="2:18" x14ac:dyDescent="0.25">
      <c r="B32" s="14" t="str">
        <f>IF(INDEX(BudgetCat,10)=0,"",INDEX(BudgetCat,10))</f>
        <v/>
      </c>
      <c r="C32" s="20">
        <f t="shared" si="1"/>
        <v>0</v>
      </c>
    </row>
    <row r="33" spans="2:3" x14ac:dyDescent="0.25">
      <c r="B33" s="14" t="str">
        <f>IF(INDEX(BudgetCat,11)=0,"",INDEX(BudgetCat,11))</f>
        <v/>
      </c>
      <c r="C33" s="20">
        <f t="shared" si="1"/>
        <v>0</v>
      </c>
    </row>
    <row r="34" spans="2:3" x14ac:dyDescent="0.25">
      <c r="B34" s="14" t="str">
        <f>IF(INDEX(BudgetCat,12)=0,"",INDEX(BudgetCat,12))</f>
        <v/>
      </c>
      <c r="C34" s="20">
        <f t="shared" si="1"/>
        <v>0</v>
      </c>
    </row>
    <row r="35" spans="2:3" x14ac:dyDescent="0.25">
      <c r="B35" s="14" t="str">
        <f>IF(INDEX(BudgetCat,13)=0,"",INDEX(BudgetCat,13))</f>
        <v/>
      </c>
      <c r="C35" s="20">
        <f t="shared" si="1"/>
        <v>0</v>
      </c>
    </row>
    <row r="36" spans="2:3" x14ac:dyDescent="0.25">
      <c r="B36" s="14" t="str">
        <f>IF(INDEX(BudgetCat,14)=0,"",INDEX(BudgetCat,14))</f>
        <v/>
      </c>
      <c r="C36" s="20">
        <f t="shared" si="1"/>
        <v>0</v>
      </c>
    </row>
    <row r="37" spans="2:3" x14ac:dyDescent="0.25">
      <c r="B37" s="14" t="str">
        <f>IF(INDEX(BudgetCat,15)=0,"",INDEX(BudgetCat,15))</f>
        <v/>
      </c>
      <c r="C37" s="20">
        <f t="shared" si="1"/>
        <v>0</v>
      </c>
    </row>
    <row r="38" spans="2:3" x14ac:dyDescent="0.25">
      <c r="B38" s="14" t="str">
        <f>IF(INDEX(BudgetCat,16)=0,"",INDEX(BudgetCat,16))</f>
        <v/>
      </c>
      <c r="C38" s="20">
        <f t="shared" si="1"/>
        <v>0</v>
      </c>
    </row>
    <row r="39" spans="2:3" x14ac:dyDescent="0.25">
      <c r="B39" s="14" t="str">
        <f>IF(INDEX(BudgetCat,17)=0,"",INDEX(BudgetCat,17))</f>
        <v/>
      </c>
      <c r="C39" s="20">
        <f t="shared" si="1"/>
        <v>0</v>
      </c>
    </row>
    <row r="40" spans="2:3" x14ac:dyDescent="0.25">
      <c r="B40" s="14" t="str">
        <f>IF(INDEX(BudgetCat,18)=0,"",INDEX(BudgetCat,18))</f>
        <v/>
      </c>
      <c r="C40" s="20">
        <f t="shared" si="1"/>
        <v>0</v>
      </c>
    </row>
    <row r="41" spans="2:3" x14ac:dyDescent="0.25">
      <c r="B41" s="14" t="str">
        <f>IF(INDEX(BudgetCat,19)=0,"",INDEX(BudgetCat,19))</f>
        <v/>
      </c>
      <c r="C41" s="20">
        <f t="shared" si="1"/>
        <v>0</v>
      </c>
    </row>
    <row r="42" spans="2:3" ht="15.75" thickBot="1" x14ac:dyDescent="0.3">
      <c r="B42" s="15" t="str">
        <f>IF(INDEX(BudgetCat,20)=0,"",INDEX(BudgetCat,20))</f>
        <v/>
      </c>
      <c r="C42" s="21">
        <f t="shared" si="1"/>
        <v>0</v>
      </c>
    </row>
  </sheetData>
  <sheetProtection sheet="1" objects="1" scenarios="1" autoFilter="0"/>
  <protectedRanges>
    <protectedRange sqref="C3" name="Range1"/>
  </protectedRanges>
  <phoneticPr fontId="8" type="noConversion"/>
  <dataValidations count="1">
    <dataValidation type="list" allowBlank="1" showInputMessage="1" showErrorMessage="1" sqref="C3" xr:uid="{F0742E68-B23F-4D19-B8F6-130A3216A5C3}">
      <formula1>Year_List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2" r:id="rId3" name="Button 4">
              <controlPr defaultSize="0" print="0" autoFill="0" autoPict="0" macro="[0]!ThisWorkbook.GetTransactions">
                <anchor moveWithCells="1">
                  <from>
                    <xdr:col>7</xdr:col>
                    <xdr:colOff>66675</xdr:colOff>
                    <xdr:row>5</xdr:row>
                    <xdr:rowOff>9525</xdr:rowOff>
                  </from>
                  <to>
                    <xdr:col>8</xdr:col>
                    <xdr:colOff>628650</xdr:colOff>
                    <xdr:row>6</xdr:row>
                    <xdr:rowOff>19050</xdr:rowOff>
                  </to>
                </anchor>
              </controlPr>
            </control>
          </mc:Choice>
        </mc:AlternateContent>
      </controls>
    </mc:Choice>
  </mc:AlternateContent>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3C798-5CBD-4F32-B9D8-27412402DB44}">
  <sheetPr codeName="Sheet11">
    <tabColor rgb="FF0070C0"/>
  </sheetPr>
  <dimension ref="B1:N29"/>
  <sheetViews>
    <sheetView showGridLines="0" topLeftCell="A28" workbookViewId="0"/>
  </sheetViews>
  <sheetFormatPr defaultRowHeight="15" x14ac:dyDescent="0.25"/>
  <cols>
    <col min="2" max="2" width="25.85546875" customWidth="1"/>
    <col min="3" max="3" width="23.140625" customWidth="1"/>
    <col min="4" max="4" width="18.5703125" customWidth="1"/>
    <col min="5" max="5" width="19.140625" customWidth="1"/>
    <col min="6" max="6" width="19" bestFit="1" customWidth="1"/>
    <col min="7" max="9" width="4.28515625" customWidth="1"/>
    <col min="10" max="10" width="25.85546875" customWidth="1"/>
    <col min="11" max="11" width="23.140625" customWidth="1"/>
    <col min="12" max="12" width="18.5703125" customWidth="1"/>
    <col min="13" max="13" width="19.140625" customWidth="1"/>
    <col min="14" max="14" width="19" bestFit="1" customWidth="1"/>
  </cols>
  <sheetData>
    <row r="1" spans="2:14" s="3" customFormat="1" x14ac:dyDescent="0.25"/>
    <row r="2" spans="2:14" s="3" customFormat="1" ht="36" x14ac:dyDescent="0.55000000000000004">
      <c r="B2" s="4" t="s">
        <v>76</v>
      </c>
    </row>
    <row r="3" spans="2:14" s="3" customFormat="1" x14ac:dyDescent="0.25">
      <c r="B3" s="44" t="s">
        <v>44</v>
      </c>
      <c r="C3" s="49" t="s">
        <v>53</v>
      </c>
      <c r="J3" s="44" t="s">
        <v>44</v>
      </c>
      <c r="K3" s="49" t="s">
        <v>53</v>
      </c>
    </row>
    <row r="4" spans="2:14" s="7" customFormat="1" x14ac:dyDescent="0.25">
      <c r="B4" s="70" t="s">
        <v>46</v>
      </c>
      <c r="C4" s="50" t="s">
        <v>53</v>
      </c>
      <c r="J4" s="70" t="s">
        <v>46</v>
      </c>
      <c r="K4" s="50" t="s">
        <v>53</v>
      </c>
    </row>
    <row r="5" spans="2:14" ht="15.75" thickBot="1" x14ac:dyDescent="0.3"/>
    <row r="6" spans="2:14" ht="24" thickBot="1" x14ac:dyDescent="0.4">
      <c r="B6" s="33" t="s">
        <v>30</v>
      </c>
      <c r="C6" s="30">
        <f>IF($C$3="All",
IF($C$4="All",SUM(INDEX(ExpenseList,,3)),
SUMIFS(INDEX(ExpenseList,,3),INDEX(ExpenseList,,13),$C$4)),
IF($C$4="All",SUMIFS(INDEX(ExpenseList,,3),INDEX(ExpenseList,,14),$C$3),
SUMIFS(INDEX(ExpenseList,,3),INDEX(ExpenseList,,13),$C$4,INDEX(ExpenseList,,14),$C$3)))</f>
        <v>0</v>
      </c>
      <c r="J6" s="33" t="s">
        <v>30</v>
      </c>
      <c r="K6" s="30">
        <f>IF($K$3="All",
IF($K$4="All",SUM(INDEX(ExpenseList,,3)),
SUMIFS(INDEX(ExpenseList,,3),INDEX(ExpenseList,,13),$K$4)),
IF($K$4="All",SUMIFS(INDEX(ExpenseList,,3),INDEX(ExpenseList,,14),$K$3),
SUMIFS(INDEX(ExpenseList,,3),INDEX(ExpenseList,,13),$K$4,INDEX(ExpenseList,,14),$K$3)))</f>
        <v>0</v>
      </c>
    </row>
    <row r="7" spans="2:14" ht="15.75" thickBot="1" x14ac:dyDescent="0.3">
      <c r="H7" s="36"/>
    </row>
    <row r="8" spans="2:14" ht="15.75" thickBot="1" x14ac:dyDescent="0.3">
      <c r="B8" s="57" t="s">
        <v>6</v>
      </c>
      <c r="C8" s="58" t="s">
        <v>49</v>
      </c>
      <c r="D8" s="58" t="s">
        <v>48</v>
      </c>
      <c r="E8" s="58" t="s">
        <v>51</v>
      </c>
      <c r="F8" s="59" t="s">
        <v>52</v>
      </c>
      <c r="H8" s="36"/>
      <c r="I8" s="56"/>
      <c r="J8" s="57" t="s">
        <v>6</v>
      </c>
      <c r="K8" s="58" t="s">
        <v>49</v>
      </c>
      <c r="L8" s="58" t="s">
        <v>48</v>
      </c>
      <c r="M8" s="58" t="s">
        <v>51</v>
      </c>
      <c r="N8" s="59" t="s">
        <v>52</v>
      </c>
    </row>
    <row r="9" spans="2:14" x14ac:dyDescent="0.25">
      <c r="B9" s="31" t="str">
        <f>IF(INDEX(BudgetCat,1)=0,"",INDEX(BudgetCat,1))</f>
        <v/>
      </c>
      <c r="C9" s="72">
        <f t="shared" ref="C9:C28" si="0">IF(B9="",0,IF($C$3="All",
IF($C$4="All",SUMIFS(INDEX(ExpenseList,,3),INDEX(ExpenseList,,6),B9),
SUMIFS(INDEX(ExpenseList,,3),INDEX(ExpenseList,,6),B9,INDEX(ExpenseList,,13),$C$4)),
IF($C$4="All",SUMIFS(INDEX(ExpenseList,,3),INDEX(ExpenseList,,6),B9,INDEX(ExpenseList,,14),$C$3),
SUMIFS(INDEX(ExpenseList,,3),INDEX(ExpenseList,,6),B9,INDEX(ExpenseList,,13),$C$4,INDEX(ExpenseList,,14),$C$3))))</f>
        <v>0</v>
      </c>
      <c r="D9" s="72" cm="1">
        <f t="array" ref="D9:D28">IF($C$4="All",INDEX(Budget,,2)*12,INDEX(Budget,,2))</f>
        <v>0</v>
      </c>
      <c r="E9" s="73">
        <f>D9-C9</f>
        <v>0</v>
      </c>
      <c r="F9" s="74" t="e">
        <f>IF(C9/$C$6=0,"",C9/$C$6)</f>
        <v>#DIV/0!</v>
      </c>
      <c r="H9" s="54"/>
      <c r="I9" s="34"/>
      <c r="J9" s="31" t="str">
        <f>IF(INDEX(BudgetCat,1)=0,"",INDEX(BudgetCat,1))</f>
        <v/>
      </c>
      <c r="K9" s="72">
        <f t="shared" ref="K9:K28" si="1">IF(J9="",0,IF($K$3="All",
IF($K$4="All",SUMIFS(INDEX(ExpenseList,,3),INDEX(ExpenseList,,6),J9),
SUMIFS(INDEX(ExpenseList,,3),INDEX(ExpenseList,,6),J9,INDEX(ExpenseList,,13),$K$4)),
IF($K$4="All",SUMIFS(INDEX(ExpenseList,,3),INDEX(ExpenseList,,6),J9,INDEX(ExpenseList,,14),$K$3),
SUMIFS(INDEX(ExpenseList,,3),INDEX(ExpenseList,,6),J9,INDEX(ExpenseList,,13),$K$4,INDEX(ExpenseList,,14),$K$3))))</f>
        <v>0</v>
      </c>
      <c r="L9" s="72" cm="1">
        <f t="array" ref="L9:L28">IF($K$4="All",INDEX(Budget,,2)*12,INDEX(Budget,,2))</f>
        <v>0</v>
      </c>
      <c r="M9" s="73">
        <f>L9-K9</f>
        <v>0</v>
      </c>
      <c r="N9" s="74" t="e">
        <f>IF(K9/$K$6=0,"",K9/$K$6)</f>
        <v>#DIV/0!</v>
      </c>
    </row>
    <row r="10" spans="2:14" x14ac:dyDescent="0.25">
      <c r="B10" s="14" t="str">
        <f>IF(INDEX(BudgetCat,2)=0,"",INDEX(BudgetCat,2))</f>
        <v/>
      </c>
      <c r="C10" s="41">
        <f t="shared" si="0"/>
        <v>0</v>
      </c>
      <c r="D10" s="35">
        <v>0</v>
      </c>
      <c r="E10" s="42">
        <f t="shared" ref="E10:E28" si="2">D10-C10</f>
        <v>0</v>
      </c>
      <c r="F10" s="38" t="e">
        <f t="shared" ref="F10:F28" si="3">IF(C10/$C$6=0,"",C10/$C$6)</f>
        <v>#DIV/0!</v>
      </c>
      <c r="J10" s="14" t="str">
        <f>IF(INDEX(BudgetCat,2)=0,"",INDEX(BudgetCat,2))</f>
        <v/>
      </c>
      <c r="K10" s="41">
        <f t="shared" si="1"/>
        <v>0</v>
      </c>
      <c r="L10" s="35">
        <v>0</v>
      </c>
      <c r="M10" s="42">
        <f t="shared" ref="M10:M28" si="4">L10-K10</f>
        <v>0</v>
      </c>
      <c r="N10" s="38" t="e">
        <f t="shared" ref="N10:N28" si="5">IF(K10/$K$6=0,"",K10/$K$6)</f>
        <v>#DIV/0!</v>
      </c>
    </row>
    <row r="11" spans="2:14" x14ac:dyDescent="0.25">
      <c r="B11" s="14" t="str">
        <f>IF(INDEX(BudgetCat,3)=0,"",INDEX(BudgetCat,3))</f>
        <v/>
      </c>
      <c r="C11" s="41">
        <f t="shared" si="0"/>
        <v>0</v>
      </c>
      <c r="D11" s="35">
        <v>0</v>
      </c>
      <c r="E11" s="42">
        <f t="shared" si="2"/>
        <v>0</v>
      </c>
      <c r="F11" s="38" t="e">
        <f t="shared" si="3"/>
        <v>#DIV/0!</v>
      </c>
      <c r="J11" s="14" t="str">
        <f>IF(INDEX(BudgetCat,3)=0,"",INDEX(BudgetCat,3))</f>
        <v/>
      </c>
      <c r="K11" s="41">
        <f t="shared" si="1"/>
        <v>0</v>
      </c>
      <c r="L11" s="35">
        <v>0</v>
      </c>
      <c r="M11" s="42">
        <f t="shared" si="4"/>
        <v>0</v>
      </c>
      <c r="N11" s="38" t="e">
        <f t="shared" si="5"/>
        <v>#DIV/0!</v>
      </c>
    </row>
    <row r="12" spans="2:14" x14ac:dyDescent="0.25">
      <c r="B12" s="14" t="str">
        <f>IF(INDEX(BudgetCat,4)=0,"",INDEX(BudgetCat,4))</f>
        <v/>
      </c>
      <c r="C12" s="41">
        <f t="shared" si="0"/>
        <v>0</v>
      </c>
      <c r="D12" s="35">
        <v>0</v>
      </c>
      <c r="E12" s="42">
        <f t="shared" si="2"/>
        <v>0</v>
      </c>
      <c r="F12" s="38" t="e">
        <f t="shared" si="3"/>
        <v>#DIV/0!</v>
      </c>
      <c r="J12" s="14" t="str">
        <f>IF(INDEX(BudgetCat,4)=0,"",INDEX(BudgetCat,4))</f>
        <v/>
      </c>
      <c r="K12" s="41">
        <f t="shared" si="1"/>
        <v>0</v>
      </c>
      <c r="L12" s="35">
        <v>0</v>
      </c>
      <c r="M12" s="42">
        <f t="shared" si="4"/>
        <v>0</v>
      </c>
      <c r="N12" s="38" t="e">
        <f t="shared" si="5"/>
        <v>#DIV/0!</v>
      </c>
    </row>
    <row r="13" spans="2:14" x14ac:dyDescent="0.25">
      <c r="B13" s="14" t="str">
        <f>IF(INDEX(BudgetCat,5)=0,"",INDEX(BudgetCat,5))</f>
        <v/>
      </c>
      <c r="C13" s="41">
        <f t="shared" si="0"/>
        <v>0</v>
      </c>
      <c r="D13" s="35">
        <v>0</v>
      </c>
      <c r="E13" s="42">
        <f t="shared" si="2"/>
        <v>0</v>
      </c>
      <c r="F13" s="38" t="e">
        <f t="shared" si="3"/>
        <v>#DIV/0!</v>
      </c>
      <c r="J13" s="14" t="str">
        <f>IF(INDEX(BudgetCat,5)=0,"",INDEX(BudgetCat,5))</f>
        <v/>
      </c>
      <c r="K13" s="41">
        <f t="shared" si="1"/>
        <v>0</v>
      </c>
      <c r="L13" s="35">
        <v>0</v>
      </c>
      <c r="M13" s="42">
        <f t="shared" si="4"/>
        <v>0</v>
      </c>
      <c r="N13" s="38" t="e">
        <f t="shared" si="5"/>
        <v>#DIV/0!</v>
      </c>
    </row>
    <row r="14" spans="2:14" x14ac:dyDescent="0.25">
      <c r="B14" s="14" t="str">
        <f>IF(INDEX(BudgetCat,6)=0,"",INDEX(BudgetCat,6))</f>
        <v/>
      </c>
      <c r="C14" s="41">
        <f t="shared" si="0"/>
        <v>0</v>
      </c>
      <c r="D14" s="35">
        <v>0</v>
      </c>
      <c r="E14" s="42">
        <f t="shared" si="2"/>
        <v>0</v>
      </c>
      <c r="F14" s="38" t="e">
        <f t="shared" si="3"/>
        <v>#DIV/0!</v>
      </c>
      <c r="J14" s="14" t="str">
        <f>IF(INDEX(BudgetCat,6)=0,"",INDEX(BudgetCat,6))</f>
        <v/>
      </c>
      <c r="K14" s="41">
        <f t="shared" si="1"/>
        <v>0</v>
      </c>
      <c r="L14" s="35">
        <v>0</v>
      </c>
      <c r="M14" s="42">
        <f t="shared" si="4"/>
        <v>0</v>
      </c>
      <c r="N14" s="38" t="e">
        <f t="shared" si="5"/>
        <v>#DIV/0!</v>
      </c>
    </row>
    <row r="15" spans="2:14" x14ac:dyDescent="0.25">
      <c r="B15" s="14" t="str">
        <f>IF(INDEX(BudgetCat,7)=0,"",INDEX(BudgetCat,7))</f>
        <v/>
      </c>
      <c r="C15" s="41">
        <f t="shared" si="0"/>
        <v>0</v>
      </c>
      <c r="D15" s="35">
        <v>0</v>
      </c>
      <c r="E15" s="42">
        <f t="shared" si="2"/>
        <v>0</v>
      </c>
      <c r="F15" s="38" t="e">
        <f t="shared" si="3"/>
        <v>#DIV/0!</v>
      </c>
      <c r="J15" s="14" t="str">
        <f>IF(INDEX(BudgetCat,7)=0,"",INDEX(BudgetCat,7))</f>
        <v/>
      </c>
      <c r="K15" s="41">
        <f t="shared" si="1"/>
        <v>0</v>
      </c>
      <c r="L15" s="35">
        <v>0</v>
      </c>
      <c r="M15" s="42">
        <f t="shared" si="4"/>
        <v>0</v>
      </c>
      <c r="N15" s="38" t="e">
        <f t="shared" si="5"/>
        <v>#DIV/0!</v>
      </c>
    </row>
    <row r="16" spans="2:14" x14ac:dyDescent="0.25">
      <c r="B16" s="14" t="str">
        <f>IF(INDEX(BudgetCat,8)=0,"",INDEX(BudgetCat,8))</f>
        <v/>
      </c>
      <c r="C16" s="41">
        <f t="shared" si="0"/>
        <v>0</v>
      </c>
      <c r="D16" s="35">
        <v>0</v>
      </c>
      <c r="E16" s="42">
        <f t="shared" si="2"/>
        <v>0</v>
      </c>
      <c r="F16" s="38" t="e">
        <f t="shared" si="3"/>
        <v>#DIV/0!</v>
      </c>
      <c r="J16" s="14" t="str">
        <f>IF(INDEX(BudgetCat,8)=0,"",INDEX(BudgetCat,8))</f>
        <v/>
      </c>
      <c r="K16" s="41">
        <f t="shared" si="1"/>
        <v>0</v>
      </c>
      <c r="L16" s="35">
        <v>0</v>
      </c>
      <c r="M16" s="42">
        <f t="shared" si="4"/>
        <v>0</v>
      </c>
      <c r="N16" s="38" t="e">
        <f t="shared" si="5"/>
        <v>#DIV/0!</v>
      </c>
    </row>
    <row r="17" spans="2:14" x14ac:dyDescent="0.25">
      <c r="B17" s="14" t="str">
        <f>IF(INDEX(BudgetCat,9)=0,"",INDEX(BudgetCat,9))</f>
        <v/>
      </c>
      <c r="C17" s="41">
        <f t="shared" si="0"/>
        <v>0</v>
      </c>
      <c r="D17" s="35">
        <v>0</v>
      </c>
      <c r="E17" s="42">
        <f t="shared" si="2"/>
        <v>0</v>
      </c>
      <c r="F17" s="38" t="e">
        <f t="shared" si="3"/>
        <v>#DIV/0!</v>
      </c>
      <c r="J17" s="14" t="str">
        <f>IF(INDEX(BudgetCat,9)=0,"",INDEX(BudgetCat,9))</f>
        <v/>
      </c>
      <c r="K17" s="41">
        <f t="shared" si="1"/>
        <v>0</v>
      </c>
      <c r="L17" s="35">
        <v>0</v>
      </c>
      <c r="M17" s="42">
        <f t="shared" si="4"/>
        <v>0</v>
      </c>
      <c r="N17" s="38" t="e">
        <f t="shared" si="5"/>
        <v>#DIV/0!</v>
      </c>
    </row>
    <row r="18" spans="2:14" x14ac:dyDescent="0.25">
      <c r="B18" s="14" t="str">
        <f>IF(INDEX(BudgetCat,10)=0,"",INDEX(BudgetCat,10))</f>
        <v/>
      </c>
      <c r="C18" s="41">
        <f t="shared" si="0"/>
        <v>0</v>
      </c>
      <c r="D18" s="35">
        <v>0</v>
      </c>
      <c r="E18" s="42">
        <f t="shared" si="2"/>
        <v>0</v>
      </c>
      <c r="F18" s="38" t="e">
        <f t="shared" si="3"/>
        <v>#DIV/0!</v>
      </c>
      <c r="J18" s="14" t="str">
        <f>IF(INDEX(BudgetCat,10)=0,"",INDEX(BudgetCat,10))</f>
        <v/>
      </c>
      <c r="K18" s="41">
        <f t="shared" si="1"/>
        <v>0</v>
      </c>
      <c r="L18" s="35">
        <v>0</v>
      </c>
      <c r="M18" s="42">
        <f t="shared" si="4"/>
        <v>0</v>
      </c>
      <c r="N18" s="38" t="e">
        <f t="shared" si="5"/>
        <v>#DIV/0!</v>
      </c>
    </row>
    <row r="19" spans="2:14" x14ac:dyDescent="0.25">
      <c r="B19" s="14" t="str">
        <f>IF(INDEX(BudgetCat,11)=0,"",INDEX(BudgetCat,11))</f>
        <v/>
      </c>
      <c r="C19" s="41">
        <f t="shared" si="0"/>
        <v>0</v>
      </c>
      <c r="D19" s="35">
        <v>0</v>
      </c>
      <c r="E19" s="42">
        <f t="shared" si="2"/>
        <v>0</v>
      </c>
      <c r="F19" s="38" t="e">
        <f t="shared" si="3"/>
        <v>#DIV/0!</v>
      </c>
      <c r="J19" s="14" t="str">
        <f>IF(INDEX(BudgetCat,11)=0,"",INDEX(BudgetCat,11))</f>
        <v/>
      </c>
      <c r="K19" s="41">
        <f t="shared" si="1"/>
        <v>0</v>
      </c>
      <c r="L19" s="35">
        <v>0</v>
      </c>
      <c r="M19" s="42">
        <f t="shared" si="4"/>
        <v>0</v>
      </c>
      <c r="N19" s="38" t="e">
        <f t="shared" si="5"/>
        <v>#DIV/0!</v>
      </c>
    </row>
    <row r="20" spans="2:14" x14ac:dyDescent="0.25">
      <c r="B20" s="14" t="str">
        <f>IF(INDEX(BudgetCat,12)=0,"",INDEX(BudgetCat,12))</f>
        <v/>
      </c>
      <c r="C20" s="41">
        <f t="shared" si="0"/>
        <v>0</v>
      </c>
      <c r="D20" s="35">
        <v>0</v>
      </c>
      <c r="E20" s="42">
        <f t="shared" si="2"/>
        <v>0</v>
      </c>
      <c r="F20" s="38" t="e">
        <f t="shared" si="3"/>
        <v>#DIV/0!</v>
      </c>
      <c r="J20" s="14" t="str">
        <f>IF(INDEX(BudgetCat,12)=0,"",INDEX(BudgetCat,12))</f>
        <v/>
      </c>
      <c r="K20" s="41">
        <f t="shared" si="1"/>
        <v>0</v>
      </c>
      <c r="L20" s="35">
        <v>0</v>
      </c>
      <c r="M20" s="42">
        <f t="shared" si="4"/>
        <v>0</v>
      </c>
      <c r="N20" s="38" t="e">
        <f t="shared" si="5"/>
        <v>#DIV/0!</v>
      </c>
    </row>
    <row r="21" spans="2:14" x14ac:dyDescent="0.25">
      <c r="B21" s="14" t="str">
        <f>IF(INDEX(BudgetCat,13)=0,"",INDEX(BudgetCat,13))</f>
        <v/>
      </c>
      <c r="C21" s="41">
        <f t="shared" si="0"/>
        <v>0</v>
      </c>
      <c r="D21" s="35">
        <v>0</v>
      </c>
      <c r="E21" s="42">
        <f t="shared" si="2"/>
        <v>0</v>
      </c>
      <c r="F21" s="38" t="e">
        <f t="shared" si="3"/>
        <v>#DIV/0!</v>
      </c>
      <c r="J21" s="14" t="str">
        <f>IF(INDEX(BudgetCat,13)=0,"",INDEX(BudgetCat,13))</f>
        <v/>
      </c>
      <c r="K21" s="41">
        <f t="shared" si="1"/>
        <v>0</v>
      </c>
      <c r="L21" s="35">
        <v>0</v>
      </c>
      <c r="M21" s="42">
        <f t="shared" si="4"/>
        <v>0</v>
      </c>
      <c r="N21" s="38" t="e">
        <f t="shared" si="5"/>
        <v>#DIV/0!</v>
      </c>
    </row>
    <row r="22" spans="2:14" x14ac:dyDescent="0.25">
      <c r="B22" s="14" t="str">
        <f>IF(INDEX(BudgetCat,14)=0,"",INDEX(BudgetCat,14))</f>
        <v/>
      </c>
      <c r="C22" s="41">
        <f t="shared" si="0"/>
        <v>0</v>
      </c>
      <c r="D22" s="35">
        <v>0</v>
      </c>
      <c r="E22" s="42">
        <f t="shared" si="2"/>
        <v>0</v>
      </c>
      <c r="F22" s="38" t="e">
        <f t="shared" si="3"/>
        <v>#DIV/0!</v>
      </c>
      <c r="J22" s="14" t="str">
        <f>IF(INDEX(BudgetCat,14)=0,"",INDEX(BudgetCat,14))</f>
        <v/>
      </c>
      <c r="K22" s="41">
        <f t="shared" si="1"/>
        <v>0</v>
      </c>
      <c r="L22" s="35">
        <v>0</v>
      </c>
      <c r="M22" s="42">
        <f t="shared" si="4"/>
        <v>0</v>
      </c>
      <c r="N22" s="38" t="e">
        <f t="shared" si="5"/>
        <v>#DIV/0!</v>
      </c>
    </row>
    <row r="23" spans="2:14" x14ac:dyDescent="0.25">
      <c r="B23" s="14" t="str">
        <f>IF(INDEX(BudgetCat,15)=0,"",INDEX(BudgetCat,15))</f>
        <v/>
      </c>
      <c r="C23" s="41">
        <f t="shared" si="0"/>
        <v>0</v>
      </c>
      <c r="D23" s="35">
        <v>0</v>
      </c>
      <c r="E23" s="42">
        <f t="shared" si="2"/>
        <v>0</v>
      </c>
      <c r="F23" s="38" t="e">
        <f t="shared" si="3"/>
        <v>#DIV/0!</v>
      </c>
      <c r="J23" s="14" t="str">
        <f>IF(INDEX(BudgetCat,15)=0,"",INDEX(BudgetCat,15))</f>
        <v/>
      </c>
      <c r="K23" s="41">
        <f t="shared" si="1"/>
        <v>0</v>
      </c>
      <c r="L23" s="35">
        <v>0</v>
      </c>
      <c r="M23" s="42">
        <f t="shared" si="4"/>
        <v>0</v>
      </c>
      <c r="N23" s="38" t="e">
        <f t="shared" si="5"/>
        <v>#DIV/0!</v>
      </c>
    </row>
    <row r="24" spans="2:14" x14ac:dyDescent="0.25">
      <c r="B24" s="14" t="str">
        <f>IF(INDEX(BudgetCat,16)=0,"",INDEX(BudgetCat,16))</f>
        <v/>
      </c>
      <c r="C24" s="41">
        <f t="shared" si="0"/>
        <v>0</v>
      </c>
      <c r="D24" s="35">
        <v>0</v>
      </c>
      <c r="E24" s="42">
        <f t="shared" si="2"/>
        <v>0</v>
      </c>
      <c r="F24" s="38" t="e">
        <f t="shared" si="3"/>
        <v>#DIV/0!</v>
      </c>
      <c r="J24" s="14" t="str">
        <f>IF(INDEX(BudgetCat,16)=0,"",INDEX(BudgetCat,16))</f>
        <v/>
      </c>
      <c r="K24" s="41">
        <f t="shared" si="1"/>
        <v>0</v>
      </c>
      <c r="L24" s="35">
        <v>0</v>
      </c>
      <c r="M24" s="42">
        <f t="shared" si="4"/>
        <v>0</v>
      </c>
      <c r="N24" s="38" t="e">
        <f t="shared" si="5"/>
        <v>#DIV/0!</v>
      </c>
    </row>
    <row r="25" spans="2:14" x14ac:dyDescent="0.25">
      <c r="B25" s="14" t="str">
        <f>IF(INDEX(BudgetCat,17)=0,"",INDEX(BudgetCat,17))</f>
        <v/>
      </c>
      <c r="C25" s="41">
        <f t="shared" si="0"/>
        <v>0</v>
      </c>
      <c r="D25" s="35">
        <v>0</v>
      </c>
      <c r="E25" s="42">
        <f t="shared" si="2"/>
        <v>0</v>
      </c>
      <c r="F25" s="38" t="e">
        <f t="shared" si="3"/>
        <v>#DIV/0!</v>
      </c>
      <c r="J25" s="14" t="str">
        <f>IF(INDEX(BudgetCat,17)=0,"",INDEX(BudgetCat,17))</f>
        <v/>
      </c>
      <c r="K25" s="41">
        <f t="shared" si="1"/>
        <v>0</v>
      </c>
      <c r="L25" s="35">
        <v>0</v>
      </c>
      <c r="M25" s="42">
        <f t="shared" si="4"/>
        <v>0</v>
      </c>
      <c r="N25" s="38" t="e">
        <f t="shared" si="5"/>
        <v>#DIV/0!</v>
      </c>
    </row>
    <row r="26" spans="2:14" x14ac:dyDescent="0.25">
      <c r="B26" s="14" t="str">
        <f>IF(INDEX(BudgetCat,18)=0,"",INDEX(BudgetCat,18))</f>
        <v/>
      </c>
      <c r="C26" s="41">
        <f t="shared" si="0"/>
        <v>0</v>
      </c>
      <c r="D26" s="35">
        <v>0</v>
      </c>
      <c r="E26" s="42">
        <f t="shared" si="2"/>
        <v>0</v>
      </c>
      <c r="F26" s="38" t="e">
        <f t="shared" si="3"/>
        <v>#DIV/0!</v>
      </c>
      <c r="J26" s="14" t="str">
        <f>IF(INDEX(BudgetCat,18)=0,"",INDEX(BudgetCat,18))</f>
        <v/>
      </c>
      <c r="K26" s="41">
        <f t="shared" si="1"/>
        <v>0</v>
      </c>
      <c r="L26" s="35">
        <v>0</v>
      </c>
      <c r="M26" s="42">
        <f t="shared" si="4"/>
        <v>0</v>
      </c>
      <c r="N26" s="38" t="e">
        <f t="shared" si="5"/>
        <v>#DIV/0!</v>
      </c>
    </row>
    <row r="27" spans="2:14" x14ac:dyDescent="0.25">
      <c r="B27" s="14" t="str">
        <f>IF(INDEX(BudgetCat,19)=0,"",INDEX(BudgetCat,19))</f>
        <v/>
      </c>
      <c r="C27" s="41">
        <f t="shared" si="0"/>
        <v>0</v>
      </c>
      <c r="D27" s="35">
        <v>0</v>
      </c>
      <c r="E27" s="42">
        <f t="shared" si="2"/>
        <v>0</v>
      </c>
      <c r="F27" s="38" t="e">
        <f t="shared" si="3"/>
        <v>#DIV/0!</v>
      </c>
      <c r="J27" s="14" t="str">
        <f>IF(INDEX(BudgetCat,19)=0,"",INDEX(BudgetCat,19))</f>
        <v/>
      </c>
      <c r="K27" s="41">
        <f t="shared" si="1"/>
        <v>0</v>
      </c>
      <c r="L27" s="35">
        <v>0</v>
      </c>
      <c r="M27" s="42">
        <f t="shared" si="4"/>
        <v>0</v>
      </c>
      <c r="N27" s="38" t="e">
        <f t="shared" si="5"/>
        <v>#DIV/0!</v>
      </c>
    </row>
    <row r="28" spans="2:14" ht="15.75" thickBot="1" x14ac:dyDescent="0.3">
      <c r="B28" s="15" t="str">
        <f>IF(INDEX(BudgetCat,20)=0,"",INDEX(BudgetCat,20))</f>
        <v/>
      </c>
      <c r="C28" s="75">
        <f t="shared" si="0"/>
        <v>0</v>
      </c>
      <c r="D28" s="39">
        <v>0</v>
      </c>
      <c r="E28" s="43">
        <f t="shared" si="2"/>
        <v>0</v>
      </c>
      <c r="F28" s="40" t="e">
        <f t="shared" si="3"/>
        <v>#DIV/0!</v>
      </c>
      <c r="J28" s="15" t="str">
        <f>IF(INDEX(BudgetCat,20)=0,"",INDEX(BudgetCat,20))</f>
        <v/>
      </c>
      <c r="K28" s="75">
        <f t="shared" si="1"/>
        <v>0</v>
      </c>
      <c r="L28" s="39">
        <v>0</v>
      </c>
      <c r="M28" s="43">
        <f t="shared" si="4"/>
        <v>0</v>
      </c>
      <c r="N28" s="40" t="e">
        <f t="shared" si="5"/>
        <v>#DIV/0!</v>
      </c>
    </row>
    <row r="29" spans="2:14" ht="15.75" thickBot="1" x14ac:dyDescent="0.3">
      <c r="D29" s="24" t="s">
        <v>50</v>
      </c>
      <c r="E29" s="37">
        <f>SUM(E9:E22)</f>
        <v>0</v>
      </c>
      <c r="L29" s="24" t="s">
        <v>50</v>
      </c>
      <c r="M29" s="37">
        <f>SUM(M9:M22)</f>
        <v>0</v>
      </c>
    </row>
  </sheetData>
  <sheetProtection autoFilter="0"/>
  <protectedRanges>
    <protectedRange sqref="C3:C4 K3:K4" name="Range1"/>
  </protectedRanges>
  <conditionalFormatting sqref="E9:E28">
    <cfRule type="dataBar" priority="4">
      <dataBar>
        <cfvo type="min"/>
        <cfvo type="max"/>
        <color rgb="FF63C384"/>
      </dataBar>
      <extLst>
        <ext xmlns:x14="http://schemas.microsoft.com/office/spreadsheetml/2009/9/main" uri="{B025F937-C7B1-47D3-B67F-A62EFF666E3E}">
          <x14:id>{CCF4FCCD-529B-4DE5-9C71-6B6069BA8CB5}</x14:id>
        </ext>
      </extLst>
    </cfRule>
  </conditionalFormatting>
  <conditionalFormatting sqref="F9:F28">
    <cfRule type="colorScale" priority="3">
      <colorScale>
        <cfvo type="min"/>
        <cfvo type="max"/>
        <color rgb="FFFCFCFF"/>
        <color rgb="FFF8696B"/>
      </colorScale>
    </cfRule>
  </conditionalFormatting>
  <conditionalFormatting sqref="M9:M28">
    <cfRule type="dataBar" priority="2">
      <dataBar>
        <cfvo type="min"/>
        <cfvo type="max"/>
        <color rgb="FF63C384"/>
      </dataBar>
      <extLst>
        <ext xmlns:x14="http://schemas.microsoft.com/office/spreadsheetml/2009/9/main" uri="{B025F937-C7B1-47D3-B67F-A62EFF666E3E}">
          <x14:id>{BC432E25-D68A-4F74-9ACD-A92CAFCC94AA}</x14:id>
        </ext>
      </extLst>
    </cfRule>
  </conditionalFormatting>
  <conditionalFormatting sqref="N9:N28">
    <cfRule type="colorScale" priority="1">
      <colorScale>
        <cfvo type="min"/>
        <cfvo type="max"/>
        <color rgb="FFFCFCFF"/>
        <color rgb="FFF8696B"/>
      </colorScale>
    </cfRule>
  </conditionalFormatting>
  <dataValidations count="2">
    <dataValidation type="list" allowBlank="1" showInputMessage="1" showErrorMessage="1" sqref="C4 K4" xr:uid="{B6B242C4-3C9F-4624-868A-7C757D696E57}">
      <formula1>Month_List</formula1>
    </dataValidation>
    <dataValidation type="list" allowBlank="1" showInputMessage="1" showErrorMessage="1" sqref="C3 K3" xr:uid="{8CB576A5-FD18-4D3E-94E0-B361FF8A0235}">
      <formula1>Year_List</formula1>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CF4FCCD-529B-4DE5-9C71-6B6069BA8CB5}">
            <x14:dataBar minLength="0" maxLength="100" gradient="0">
              <x14:cfvo type="autoMin"/>
              <x14:cfvo type="autoMax"/>
              <x14:negativeFillColor rgb="FFFF0000"/>
              <x14:axisColor rgb="FF000000"/>
            </x14:dataBar>
          </x14:cfRule>
          <xm:sqref>E9:E28</xm:sqref>
        </x14:conditionalFormatting>
        <x14:conditionalFormatting xmlns:xm="http://schemas.microsoft.com/office/excel/2006/main">
          <x14:cfRule type="dataBar" id="{BC432E25-D68A-4F74-9ACD-A92CAFCC94AA}">
            <x14:dataBar minLength="0" maxLength="100" gradient="0">
              <x14:cfvo type="autoMin"/>
              <x14:cfvo type="autoMax"/>
              <x14:negativeFillColor rgb="FFFF0000"/>
              <x14:axisColor rgb="FF000000"/>
            </x14:dataBar>
          </x14:cfRule>
          <xm:sqref>M9:M28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A8187-5786-489F-9907-064284B9DA3A}">
  <sheetPr codeName="Sheet3"/>
  <dimension ref="A1:O1"/>
  <sheetViews>
    <sheetView workbookViewId="0">
      <selection activeCell="O1" sqref="O1"/>
    </sheetView>
  </sheetViews>
  <sheetFormatPr defaultRowHeight="15" x14ac:dyDescent="0.25"/>
  <sheetData>
    <row r="1" spans="1:15" x14ac:dyDescent="0.25">
      <c r="A1" t="s">
        <v>17</v>
      </c>
      <c r="B1" t="s">
        <v>18</v>
      </c>
      <c r="C1" t="s">
        <v>19</v>
      </c>
      <c r="D1" t="s">
        <v>20</v>
      </c>
      <c r="E1" t="s">
        <v>21</v>
      </c>
      <c r="F1" t="s">
        <v>25</v>
      </c>
      <c r="G1" t="s">
        <v>22</v>
      </c>
      <c r="H1" t="s">
        <v>23</v>
      </c>
      <c r="I1" t="s">
        <v>24</v>
      </c>
      <c r="J1" t="s">
        <v>27</v>
      </c>
      <c r="K1" t="s">
        <v>26</v>
      </c>
      <c r="O1" t="s">
        <v>77</v>
      </c>
    </row>
  </sheetData>
  <dataConsolid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Instructions</vt:lpstr>
      <vt:lpstr>Main Tab</vt:lpstr>
      <vt:lpstr>Expense List</vt:lpstr>
      <vt:lpstr>Monthly Dashboard</vt:lpstr>
      <vt:lpstr>Working Sheet</vt:lpstr>
      <vt:lpstr>Backup Expense List</vt:lpstr>
      <vt:lpstr>Category Dashboard</vt:lpstr>
      <vt:lpstr>Annual Dashboard</vt:lpstr>
      <vt:lpstr>Monthly Compare Dashboard</vt:lpstr>
      <vt:lpstr>Account Variables</vt:lpstr>
      <vt:lpstr>Budget</vt:lpstr>
      <vt:lpstr>BudgetCat</vt:lpstr>
      <vt:lpstr>Cat_List</vt:lpstr>
      <vt:lpstr>'Backup Expense List'!ExpenseList</vt:lpstr>
      <vt:lpstr>ExpenseList</vt:lpstr>
      <vt:lpstr>Month_List</vt:lpstr>
      <vt:lpstr>Year_List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ExpenseBook</dc:title>
  <dc:creator>Joshua Petersheim</dc:creator>
  <cp:keywords>expenses, finances, tracking, lists, budget</cp:keywords>
  <dc:description>Made to allow users to track their expenses</dc:description>
  <cp:lastModifiedBy>Josh Petersheim</cp:lastModifiedBy>
  <dcterms:created xsi:type="dcterms:W3CDTF">2020-03-01T23:04:16Z</dcterms:created>
  <dcterms:modified xsi:type="dcterms:W3CDTF">2021-05-05T02:43:42Z</dcterms:modified>
  <cp:category>Finance</cp:category>
</cp:coreProperties>
</file>